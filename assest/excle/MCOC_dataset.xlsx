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ui ux\MCOC full stack\assest\excle\"/>
    </mc:Choice>
  </mc:AlternateContent>
  <xr:revisionPtr revIDLastSave="0" documentId="13_ncr:1_{856B0E6D-A725-4076-9469-8B23B5644E67}" xr6:coauthVersionLast="47" xr6:coauthVersionMax="47" xr10:uidLastSave="{00000000-0000-0000-0000-000000000000}"/>
  <bookViews>
    <workbookView xWindow="-120" yWindow="-120" windowWidth="29040" windowHeight="16440" activeTab="6" xr2:uid="{00000000-000D-0000-FFFF-FFFF00000000}"/>
  </bookViews>
  <sheets>
    <sheet name="Immunity" sheetId="1" r:id="rId1"/>
    <sheet name="Chamipons_tag" sheetId="2" r:id="rId2"/>
    <sheet name="Story champions" sheetId="3" r:id="rId3"/>
    <sheet name="Champion Plane" sheetId="5" r:id="rId4"/>
    <sheet name="Main" sheetId="6" r:id="rId5"/>
    <sheet name="Grouped by Tag" sheetId="7" r:id="rId6"/>
    <sheet name="Grouped by Category"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7" i="1" l="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AR1" i="1"/>
  <c r="AQ1" i="1"/>
  <c r="AP1" i="1"/>
  <c r="B1" i="1" a="1"/>
  <c r="AO1" i="1" l="1"/>
  <c r="AN1" i="1"/>
  <c r="AM1" i="1"/>
  <c r="AL1" i="1"/>
  <c r="AK1" i="1"/>
  <c r="AJ1" i="1"/>
  <c r="AI1" i="1"/>
  <c r="AH1" i="1"/>
  <c r="AG1" i="1"/>
  <c r="AF1" i="1"/>
  <c r="AE1" i="1"/>
  <c r="AD1" i="1"/>
  <c r="AC1" i="1"/>
  <c r="AB1" i="1"/>
  <c r="AA1" i="1"/>
  <c r="Z1" i="1"/>
  <c r="Y1" i="1"/>
  <c r="X1" i="1"/>
  <c r="W1" i="1"/>
  <c r="V1" i="1"/>
  <c r="K1" i="1"/>
  <c r="J1" i="1"/>
  <c r="I1" i="1"/>
  <c r="D1" i="1"/>
  <c r="C1" i="1"/>
  <c r="U1" i="1"/>
  <c r="T1" i="1"/>
  <c r="S1" i="1"/>
  <c r="R1" i="1"/>
  <c r="Q1" i="1"/>
  <c r="P1" i="1"/>
  <c r="O1" i="1"/>
  <c r="N1" i="1"/>
  <c r="M1" i="1"/>
  <c r="L1" i="1"/>
  <c r="H1" i="1"/>
  <c r="G1" i="1"/>
  <c r="F1" i="1"/>
  <c r="E1" i="1"/>
  <c r="B1" i="1"/>
</calcChain>
</file>

<file path=xl/sharedStrings.xml><?xml version="1.0" encoding="utf-8"?>
<sst xmlns="http://schemas.openxmlformats.org/spreadsheetml/2006/main" count="22190" uniqueCount="698">
  <si>
    <t>Champion</t>
  </si>
  <si>
    <t>Champion Name</t>
  </si>
  <si>
    <t>Tag</t>
  </si>
  <si>
    <t>Category</t>
  </si>
  <si>
    <t>Black Tarantula</t>
  </si>
  <si>
    <t>Multiversal</t>
  </si>
  <si>
    <t>Team Builder</t>
  </si>
  <si>
    <t>Hobgoblin (Phil Urich)</t>
  </si>
  <si>
    <t>Agent Venom</t>
  </si>
  <si>
    <t>Squad Builder</t>
  </si>
  <si>
    <t>Anti-Venom</t>
  </si>
  <si>
    <t>Black Cat</t>
  </si>
  <si>
    <t>Captain America</t>
  </si>
  <si>
    <t>Captain Marvel</t>
  </si>
  <si>
    <t>Carnage</t>
  </si>
  <si>
    <t>Armor Break Immunity</t>
  </si>
  <si>
    <t>Deadpool</t>
  </si>
  <si>
    <t>Armor Shattered Immunity</t>
  </si>
  <si>
    <t>Doctor Octopus</t>
  </si>
  <si>
    <t>Bad Vibes Immunity</t>
  </si>
  <si>
    <t>Doctor Strange</t>
  </si>
  <si>
    <t>Bleed Immunity</t>
  </si>
  <si>
    <t>Electro</t>
  </si>
  <si>
    <t>Buff immunity</t>
  </si>
  <si>
    <t>Coldsnap Immunity</t>
  </si>
  <si>
    <t>Emma Frost</t>
  </si>
  <si>
    <t>Concussion Immunnity</t>
  </si>
  <si>
    <t>Green Goblin</t>
  </si>
  <si>
    <t>Crush Immunity</t>
  </si>
  <si>
    <t>Death Immunity</t>
  </si>
  <si>
    <t>Delirium Immunity</t>
  </si>
  <si>
    <t>Hulk</t>
  </si>
  <si>
    <t>Disintegrate Immunity</t>
  </si>
  <si>
    <t>Iceman</t>
  </si>
  <si>
    <t>Disorient Immunity</t>
  </si>
  <si>
    <t>Falter Immunity</t>
  </si>
  <si>
    <t>Iron Man (Infinity War)</t>
  </si>
  <si>
    <t>Fate Seal Immunity</t>
  </si>
  <si>
    <t>Kingpin</t>
  </si>
  <si>
    <t>Fatigue Immunity</t>
  </si>
  <si>
    <t>Frostbite Immunity</t>
  </si>
  <si>
    <t>Kitty Pryde</t>
  </si>
  <si>
    <t>Heal Block Immunity</t>
  </si>
  <si>
    <t>Knull</t>
  </si>
  <si>
    <t>Incinerate Immunity</t>
  </si>
  <si>
    <t>Infuriate Immunity</t>
  </si>
  <si>
    <t>Kraven</t>
  </si>
  <si>
    <t>Intimidate Immunity</t>
  </si>
  <si>
    <t>Neuroshock Immunity</t>
  </si>
  <si>
    <t>Lizard</t>
  </si>
  <si>
    <t>Neutralize Immunity</t>
  </si>
  <si>
    <t>Nova Flame Immunity</t>
  </si>
  <si>
    <t>Mysterio</t>
  </si>
  <si>
    <t>Nullify Immunity</t>
  </si>
  <si>
    <t>Petrify Immunity</t>
  </si>
  <si>
    <t>Peni Parker</t>
  </si>
  <si>
    <t>Cosmic</t>
  </si>
  <si>
    <t>Poison Immunity</t>
  </si>
  <si>
    <t>Power Burn Immunity</t>
  </si>
  <si>
    <t>Red Goblin</t>
  </si>
  <si>
    <t>Power Drain Immunity</t>
  </si>
  <si>
    <t>Power Lock Immunity</t>
  </si>
  <si>
    <t>Rhino</t>
  </si>
  <si>
    <t>Power Steal Immunity</t>
  </si>
  <si>
    <t>Rogue</t>
  </si>
  <si>
    <t>Power Sting Immunity</t>
  </si>
  <si>
    <t>Precision Immunity</t>
  </si>
  <si>
    <t>Sandman</t>
  </si>
  <si>
    <t>Reverse Control Immunity</t>
  </si>
  <si>
    <t>Rupture Immunity</t>
  </si>
  <si>
    <t>Scorpion</t>
  </si>
  <si>
    <t>Shock Immunity</t>
  </si>
  <si>
    <t>Scream</t>
  </si>
  <si>
    <t>Slow Immunity</t>
  </si>
  <si>
    <t>Special Lock Immunity</t>
  </si>
  <si>
    <t>Shocker</t>
  </si>
  <si>
    <t>Spectre Immunity</t>
  </si>
  <si>
    <t>Stagger Immunity</t>
  </si>
  <si>
    <t>Silk</t>
  </si>
  <si>
    <t>Stun Immunity</t>
  </si>
  <si>
    <t>Taunt Immunity</t>
  </si>
  <si>
    <t>Silver Sable</t>
  </si>
  <si>
    <t>Wither Immunity</t>
  </si>
  <si>
    <t>Spider Man (Stark Enhanced)</t>
  </si>
  <si>
    <t>Spider Man 2099</t>
  </si>
  <si>
    <t>Spider man (Miles Morales)</t>
  </si>
  <si>
    <t>Spider-Gwen</t>
  </si>
  <si>
    <t>Spider-Ham</t>
  </si>
  <si>
    <t>Spider-Man (Classic)</t>
  </si>
  <si>
    <t>Spider-Man (Pavitr Prabhakar)</t>
  </si>
  <si>
    <t>Spider-Man (Stealth-Suit)</t>
  </si>
  <si>
    <t>Spider-Man (Supreme)</t>
  </si>
  <si>
    <t>Spider-Punk</t>
  </si>
  <si>
    <t>S-Tier</t>
  </si>
  <si>
    <t>Spider-Woman</t>
  </si>
  <si>
    <t>Symbiote Supreme</t>
  </si>
  <si>
    <t>Tech</t>
  </si>
  <si>
    <t>Thor</t>
  </si>
  <si>
    <t>Venom</t>
  </si>
  <si>
    <t>Venom The Duck</t>
  </si>
  <si>
    <t>Venompool</t>
  </si>
  <si>
    <t>Vulture</t>
  </si>
  <si>
    <t>Wolverine</t>
  </si>
  <si>
    <t>Ant-Man (Future)</t>
  </si>
  <si>
    <t>Ricochet</t>
  </si>
  <si>
    <t>Alliance Wars</t>
  </si>
  <si>
    <t>Cassie Lang</t>
  </si>
  <si>
    <t>Joe Fixit</t>
  </si>
  <si>
    <t>Photon</t>
  </si>
  <si>
    <t>Prowler</t>
  </si>
  <si>
    <t>Mystic</t>
  </si>
  <si>
    <t>QuickSilver</t>
  </si>
  <si>
    <t>Ruby Thursday</t>
  </si>
  <si>
    <t>Hercules</t>
  </si>
  <si>
    <t>Sentinel</t>
  </si>
  <si>
    <t>VOX</t>
  </si>
  <si>
    <t>Solvarch</t>
  </si>
  <si>
    <t>Spider-Slayer (J. Jonah Jameson)</t>
  </si>
  <si>
    <t>Spot</t>
  </si>
  <si>
    <t>Void</t>
  </si>
  <si>
    <t>Warlock</t>
  </si>
  <si>
    <t>Serpent</t>
  </si>
  <si>
    <t>Yondu</t>
  </si>
  <si>
    <t>Hulking</t>
  </si>
  <si>
    <t>Angela</t>
  </si>
  <si>
    <t>CGR</t>
  </si>
  <si>
    <t>Stabilize</t>
  </si>
  <si>
    <t>Beta Ray Bill</t>
  </si>
  <si>
    <t>Kate Bishop</t>
  </si>
  <si>
    <t>Bullseye</t>
  </si>
  <si>
    <t>Hit Mokey</t>
  </si>
  <si>
    <t>Yelena Belova</t>
  </si>
  <si>
    <t>NickFury</t>
  </si>
  <si>
    <t>Doctor Bong</t>
  </si>
  <si>
    <t>Onslaught</t>
  </si>
  <si>
    <t>Franken-Castle</t>
  </si>
  <si>
    <t>Archangle</t>
  </si>
  <si>
    <t>Magneto</t>
  </si>
  <si>
    <t>Domino</t>
  </si>
  <si>
    <t>Gorr</t>
  </si>
  <si>
    <t>Apocalypes</t>
  </si>
  <si>
    <t>Kushala</t>
  </si>
  <si>
    <t>Heimdall</t>
  </si>
  <si>
    <t>Doom</t>
  </si>
  <si>
    <t>BLCV</t>
  </si>
  <si>
    <t>Wiccan</t>
  </si>
  <si>
    <t>Jabari Panther</t>
  </si>
  <si>
    <t>Nicro</t>
  </si>
  <si>
    <t>Human Tourch</t>
  </si>
  <si>
    <t>M’Baku</t>
  </si>
  <si>
    <t>Patriot</t>
  </si>
  <si>
    <t>Nimord</t>
  </si>
  <si>
    <t>No</t>
  </si>
  <si>
    <t>shuri</t>
  </si>
  <si>
    <t>Phyla-Vell</t>
  </si>
  <si>
    <t>Infamous Iron man</t>
  </si>
  <si>
    <t>VIV Vision</t>
  </si>
  <si>
    <t>IronHeart</t>
  </si>
  <si>
    <t>Shang Chi</t>
  </si>
  <si>
    <t>Best Cosmic</t>
  </si>
  <si>
    <t>Spider-Man (Symbiote)</t>
  </si>
  <si>
    <t>Star-Lord (Stellar Forged)</t>
  </si>
  <si>
    <t>Terrax</t>
  </si>
  <si>
    <t>Thor (Ragnarok)</t>
  </si>
  <si>
    <t>Blade</t>
  </si>
  <si>
    <t>Yes</t>
  </si>
  <si>
    <t>Midnight Sons</t>
  </si>
  <si>
    <t>Best Mystic</t>
  </si>
  <si>
    <t>Organization</t>
  </si>
  <si>
    <t>Doctor Voodoo</t>
  </si>
  <si>
    <t>Elsa Bloodstone</t>
  </si>
  <si>
    <t>Best Mutant</t>
  </si>
  <si>
    <t>Ghost Rider</t>
  </si>
  <si>
    <t>Best Science</t>
  </si>
  <si>
    <t>Magik</t>
  </si>
  <si>
    <t>Man-Thing</t>
  </si>
  <si>
    <t>Best Skill</t>
  </si>
  <si>
    <t>Morbius</t>
  </si>
  <si>
    <t>Mr. Knight</t>
  </si>
  <si>
    <t>Best Tech</t>
  </si>
  <si>
    <t>Nico Minoru</t>
  </si>
  <si>
    <t>Werewolf By Night</t>
  </si>
  <si>
    <t>Wong</t>
  </si>
  <si>
    <t>America Chavez</t>
  </si>
  <si>
    <t>Water</t>
  </si>
  <si>
    <t>Arcade</t>
  </si>
  <si>
    <t>Attuma</t>
  </si>
  <si>
    <t>Baron Zemo</t>
  </si>
  <si>
    <t>Black Panther (Civil War)</t>
  </si>
  <si>
    <t>Blade (Stellar Forged)</t>
  </si>
  <si>
    <t>Captain America (Sam Wilson)</t>
  </si>
  <si>
    <t>Hit-Monkey</t>
  </si>
  <si>
    <t>ABS man</t>
  </si>
  <si>
    <t>Howard The Duck</t>
  </si>
  <si>
    <t>Iron Man</t>
  </si>
  <si>
    <t>Iron Man (Infamous)</t>
  </si>
  <si>
    <t>Kindred</t>
  </si>
  <si>
    <t>Korg</t>
  </si>
  <si>
    <t>Lady Deathstrike</t>
  </si>
  <si>
    <t>Madelyne Pryor</t>
  </si>
  <si>
    <t>Mojo</t>
  </si>
  <si>
    <t>Sasquatch</t>
  </si>
  <si>
    <t>Spiral</t>
  </si>
  <si>
    <t>The Destroyer</t>
  </si>
  <si>
    <t>White Tiger</t>
  </si>
  <si>
    <t>Abomination (Immortal)</t>
  </si>
  <si>
    <t>Stone</t>
  </si>
  <si>
    <t>Adam Warlock</t>
  </si>
  <si>
    <t>Titania</t>
  </si>
  <si>
    <t>Bishop</t>
  </si>
  <si>
    <t>Blue Marvel</t>
  </si>
  <si>
    <t>Corvus Glaive</t>
  </si>
  <si>
    <t>Dani Moonstar</t>
  </si>
  <si>
    <t>Aegon</t>
  </si>
  <si>
    <t>Dust</t>
  </si>
  <si>
    <t>Omega Sentinel</t>
  </si>
  <si>
    <t>Gentle</t>
  </si>
  <si>
    <t>High Evolutionary</t>
  </si>
  <si>
    <t>Galan</t>
  </si>
  <si>
    <t>Juggernaut</t>
  </si>
  <si>
    <t>Maestro</t>
  </si>
  <si>
    <t>Mister Fantastic</t>
  </si>
  <si>
    <t>Mister Negative</t>
  </si>
  <si>
    <t>Nova</t>
  </si>
  <si>
    <t>Pixie</t>
  </si>
  <si>
    <t>Sersi</t>
  </si>
  <si>
    <t>Shatterstar</t>
  </si>
  <si>
    <t>Storm (Pyramid X)</t>
  </si>
  <si>
    <t>Toad</t>
  </si>
  <si>
    <t>King Groot</t>
  </si>
  <si>
    <t>Vision (Aarkus)</t>
  </si>
  <si>
    <t>Wave</t>
  </si>
  <si>
    <t>Rintrah</t>
  </si>
  <si>
    <t>Absorbing Man</t>
  </si>
  <si>
    <t>AQ: Ramp</t>
  </si>
  <si>
    <t>Alliance Quest</t>
  </si>
  <si>
    <t>Air-Walker</t>
  </si>
  <si>
    <t>Apocalypse</t>
  </si>
  <si>
    <t>Cull Obsidian</t>
  </si>
  <si>
    <t>Dark Phoenix</t>
  </si>
  <si>
    <t>Ghost</t>
  </si>
  <si>
    <t>Dragon Man</t>
  </si>
  <si>
    <t>Enchantress</t>
  </si>
  <si>
    <t>Gamora</t>
  </si>
  <si>
    <t>Gladiator</t>
  </si>
  <si>
    <t>The Champion</t>
  </si>
  <si>
    <t>Guardian</t>
  </si>
  <si>
    <t>Guillotine 2099</t>
  </si>
  <si>
    <t>Pavitra prabakar</t>
  </si>
  <si>
    <t>Hawkeye</t>
  </si>
  <si>
    <t>Ikaris</t>
  </si>
  <si>
    <t>Imperiosa</t>
  </si>
  <si>
    <t>Capatain Britain</t>
  </si>
  <si>
    <t>Invisible Woman</t>
  </si>
  <si>
    <t>Jessica Jones</t>
  </si>
  <si>
    <t>Killmonger</t>
  </si>
  <si>
    <t>King Groot (Deathless)</t>
  </si>
  <si>
    <t>Okoye</t>
  </si>
  <si>
    <t>Bastion</t>
  </si>
  <si>
    <t>Morningstar</t>
  </si>
  <si>
    <t>Northstar</t>
  </si>
  <si>
    <t>Professor X</t>
  </si>
  <si>
    <t>Proxima Midnight</t>
  </si>
  <si>
    <t>Purgatory</t>
  </si>
  <si>
    <t>Sabretooth</t>
  </si>
  <si>
    <t>Sentry</t>
  </si>
  <si>
    <t>She-Hulk</t>
  </si>
  <si>
    <t>She-Hulk (Deathless)</t>
  </si>
  <si>
    <t>Shuri</t>
  </si>
  <si>
    <t>Star-Lord</t>
  </si>
  <si>
    <t>Stryfe</t>
  </si>
  <si>
    <t>Sunspot</t>
  </si>
  <si>
    <t>Thanos (Deathless)</t>
  </si>
  <si>
    <t>The Serpent</t>
  </si>
  <si>
    <t>Anti Venom</t>
  </si>
  <si>
    <t>Vox</t>
  </si>
  <si>
    <t>Winter Soldier</t>
  </si>
  <si>
    <t>Valkyrie</t>
  </si>
  <si>
    <t>Ægon</t>
  </si>
  <si>
    <t>Valentine's</t>
  </si>
  <si>
    <t>Attributes</t>
  </si>
  <si>
    <t>Ant-Man</t>
  </si>
  <si>
    <t>Ronan</t>
  </si>
  <si>
    <t>Archangel</t>
  </si>
  <si>
    <t>Black Panther</t>
  </si>
  <si>
    <t>Black Widow</t>
  </si>
  <si>
    <t>Black Widow (Claire Voyant)</t>
  </si>
  <si>
    <t>Cable</t>
  </si>
  <si>
    <t>Captain Britain</t>
  </si>
  <si>
    <t>Captain Marvel (Classic)</t>
  </si>
  <si>
    <t>Shehulk</t>
  </si>
  <si>
    <t>Colossus</t>
  </si>
  <si>
    <t>Cyclops (Blue Team)</t>
  </si>
  <si>
    <t>Cyclops (New Xavier School)</t>
  </si>
  <si>
    <t>Daredevil (Classic)</t>
  </si>
  <si>
    <t>Daredevil (Hell's Kitchen)</t>
  </si>
  <si>
    <t>Dazzler</t>
  </si>
  <si>
    <t>Elektra</t>
  </si>
  <si>
    <t>Gambit</t>
  </si>
  <si>
    <t>Gwenpool</t>
  </si>
  <si>
    <t>Omega Red</t>
  </si>
  <si>
    <t>Hulkling</t>
  </si>
  <si>
    <t>Human Torch</t>
  </si>
  <si>
    <t>Jean Grey</t>
  </si>
  <si>
    <t>Karnak</t>
  </si>
  <si>
    <t>Karolina Dean</t>
  </si>
  <si>
    <t>Red Skull</t>
  </si>
  <si>
    <t>Wepon X</t>
  </si>
  <si>
    <t>Longshot</t>
  </si>
  <si>
    <t>Count nefaria</t>
  </si>
  <si>
    <t>Luke Cage</t>
  </si>
  <si>
    <t>M.O.D.O.K.</t>
  </si>
  <si>
    <t>Baran Zemo</t>
  </si>
  <si>
    <t>Mantis</t>
  </si>
  <si>
    <t>Medusa</t>
  </si>
  <si>
    <t>yondu</t>
  </si>
  <si>
    <t>Moon Knight</t>
  </si>
  <si>
    <t>Namor</t>
  </si>
  <si>
    <t>Phoenix</t>
  </si>
  <si>
    <t>Mister Sinister</t>
  </si>
  <si>
    <t>Psylocke</t>
  </si>
  <si>
    <t>Ronin</t>
  </si>
  <si>
    <t>Hulk (imortal)</t>
  </si>
  <si>
    <t>Scarlet Witch (Classic)</t>
  </si>
  <si>
    <t>Hawkey</t>
  </si>
  <si>
    <t>Rocker Raccon</t>
  </si>
  <si>
    <t>Storm</t>
  </si>
  <si>
    <t>Superior Iron Man</t>
  </si>
  <si>
    <t>Thor (Jane Foster)</t>
  </si>
  <si>
    <t>VOODOO</t>
  </si>
  <si>
    <t>Tigra</t>
  </si>
  <si>
    <t>Ultron</t>
  </si>
  <si>
    <t xml:space="preserve">Hulk </t>
  </si>
  <si>
    <t>Vision (Age of Ultron)</t>
  </si>
  <si>
    <t>Wasp</t>
  </si>
  <si>
    <t>Cheelith</t>
  </si>
  <si>
    <t>Meteor</t>
  </si>
  <si>
    <t>Odin</t>
  </si>
  <si>
    <t>Dracula</t>
  </si>
  <si>
    <t>Magneto(white)</t>
  </si>
  <si>
    <t>Magneto (House of X)</t>
  </si>
  <si>
    <t>Nightcrawler</t>
  </si>
  <si>
    <t xml:space="preserve">venom </t>
  </si>
  <si>
    <t>Sauron</t>
  </si>
  <si>
    <t>Sorcerer Supreme</t>
  </si>
  <si>
    <t>Spider all</t>
  </si>
  <si>
    <t>Wolverine (X 23)</t>
  </si>
  <si>
    <t>Mole man</t>
  </si>
  <si>
    <t>Dinosaur</t>
  </si>
  <si>
    <t>Chee'ilth</t>
  </si>
  <si>
    <t>Hyperion</t>
  </si>
  <si>
    <t>Misty Knight</t>
  </si>
  <si>
    <t xml:space="preserve">miles </t>
  </si>
  <si>
    <t>Punisher</t>
  </si>
  <si>
    <t>MR.knight</t>
  </si>
  <si>
    <t>Super-Skrull</t>
  </si>
  <si>
    <t>Stellar-Forged</t>
  </si>
  <si>
    <t>Forbearance</t>
  </si>
  <si>
    <t>LongShot</t>
  </si>
  <si>
    <t>Arnim Zola</t>
  </si>
  <si>
    <t>Jeo Fixit</t>
  </si>
  <si>
    <t>G 2099</t>
  </si>
  <si>
    <t>Isophyne</t>
  </si>
  <si>
    <t>Lumatrix</t>
  </si>
  <si>
    <t>Mole Man</t>
  </si>
  <si>
    <t>Support</t>
  </si>
  <si>
    <t>Night Thrasher</t>
  </si>
  <si>
    <t>Punisher 2099</t>
  </si>
  <si>
    <t>The Maker</t>
  </si>
  <si>
    <t xml:space="preserve">1 time Death Free, fury 
</t>
  </si>
  <si>
    <t>Viv Vision</t>
  </si>
  <si>
    <t>Hella</t>
  </si>
  <si>
    <t>Wrath</t>
  </si>
  <si>
    <t>Pre-Fight</t>
  </si>
  <si>
    <t>Cassandra Nova</t>
  </si>
  <si>
    <t>Silver Samurai</t>
  </si>
  <si>
    <t>The Leader</t>
  </si>
  <si>
    <t>Cabal</t>
  </si>
  <si>
    <t>Doctor Doom</t>
  </si>
  <si>
    <t>Iron Patriot</t>
  </si>
  <si>
    <t>Kang the Conqueror</t>
  </si>
  <si>
    <t>Loki</t>
  </si>
  <si>
    <t>Taskmaster</t>
  </si>
  <si>
    <t>Thanos</t>
  </si>
  <si>
    <t>The Hood</t>
  </si>
  <si>
    <t>Saga Champions</t>
  </si>
  <si>
    <t>Saga</t>
  </si>
  <si>
    <t>Fantastic</t>
  </si>
  <si>
    <t>Count Nefaria</t>
  </si>
  <si>
    <t>Falcon (Joaquin Torres)</t>
  </si>
  <si>
    <t>Red Guardian</t>
  </si>
  <si>
    <t>Silver Surfer</t>
  </si>
  <si>
    <t>Frightful</t>
  </si>
  <si>
    <t>Mangog</t>
  </si>
  <si>
    <t>Coda</t>
  </si>
  <si>
    <t>Diablo</t>
  </si>
  <si>
    <t>BL_ADAM_07 — MCoC Beginner Champion Guide</t>
  </si>
  <si>
    <t>Mordo</t>
  </si>
  <si>
    <t>Negasonic Teenage Warhead</t>
  </si>
  <si>
    <t>QUICK GLOSSARY (simple terms used below)</t>
  </si>
  <si>
    <t>Shathra</t>
  </si>
  <si>
    <t>Story content</t>
  </si>
  <si>
    <t>The main quests/missions you play through to progress in the game.</t>
  </si>
  <si>
    <t>All-rounder</t>
  </si>
  <si>
    <t>A champion who performs well in almost every situation — a safe, flexible choice.</t>
  </si>
  <si>
    <t>Wolverine (Weapon X)</t>
  </si>
  <si>
    <t>Genesis</t>
  </si>
  <si>
    <t>Node remover</t>
  </si>
  <si>
    <t>Annihilus</t>
  </si>
  <si>
    <t>Some quest paths have special rules ('nodes') that make fights harder. These champs can cancel or shrink those rules.</t>
  </si>
  <si>
    <t>Black Widow (Deadly Origin)</t>
  </si>
  <si>
    <t>SCIENCE CLASS</t>
  </si>
  <si>
    <t>Why good for Story / other content</t>
  </si>
  <si>
    <t>Why easy to handle</t>
  </si>
  <si>
    <t>Spider-Man
(Miles Morales)</t>
  </si>
  <si>
    <t>Completes small in-fight 'challenges' (like dodging or blocking) to earn fury buffs that boost his damage, and stacks debuffs on the enemy 
reliable pick for Story and beyond.</t>
  </si>
  <si>
    <t>Just play normally (dodge/block/attack) and the challenges complete themselves — no memorized rotation needed.</t>
  </si>
  <si>
    <t>Moondragon</t>
  </si>
  <si>
    <t>Sand-man</t>
  </si>
  <si>
    <t>Nick Fury</t>
  </si>
  <si>
    <t>Great pick when a boss node punishes you for holding back — he rewards players who keep attacking non-stop.</t>
  </si>
  <si>
    <t>Very beginner friendly: just keep hitting combos, no tricky timing needed.</t>
  </si>
  <si>
    <t>Balanced fighter who does well in Story, Arena and most quests without needing a specific counter-matchup.</t>
  </si>
  <si>
    <t>Build up her Special 2 by landing hits (charges to 25) then release it — simple charge-and-release pattern.</t>
  </si>
  <si>
    <t>Good utility pick for nodes that punish debuffs — she can clear them off herself late in the fight.</t>
  </si>
  <si>
    <t>Just play normally; her clean-up ability triggers automatically when you land her Special 2 near the end.</t>
  </si>
  <si>
    <t>SKILL CLASS</t>
  </si>
  <si>
    <t>Hydra</t>
  </si>
  <si>
    <t>Yelena</t>
  </si>
  <si>
    <t>One of the easiest 'node remover' champs — she strips away punishing node effects so story fights become simple.</t>
  </si>
  <si>
    <t>No complicated combos, very forgiving to use for beginners.</t>
  </si>
  <si>
    <t>Crossbones</t>
  </si>
  <si>
    <t>Hit Monkey</t>
  </si>
  <si>
    <t>Strong all-round damage dealer who works well in Story and Arena thanks to high critical hit chance.</t>
  </si>
  <si>
    <t>Play aggressively and land crits — no special rotation required.</t>
  </si>
  <si>
    <t>Good for content where timing your moves matters (dashing back/forward at the right moment).</t>
  </si>
  <si>
    <t>Needs a bit of practice with movement timing, but pays off with strong damage once learned.</t>
  </si>
  <si>
    <t>Eidol</t>
  </si>
  <si>
    <t>MUTANT CLASS</t>
  </si>
  <si>
    <t>Her 'luck' mechanic can randomly trigger big bonuses, making her surprisingly strong for story content.</t>
  </si>
  <si>
    <t>Play normally and let her luck procs do the work — low skill floor.</t>
  </si>
  <si>
    <t>10 Year Challenge</t>
  </si>
  <si>
    <t>Removes annoying node effects just by landing basic hits/metal-based attacks, so he simplifies hard paths.</t>
  </si>
  <si>
    <t>Carina's Challenges</t>
  </si>
  <si>
    <t>Straightforward — just attack normally, no special rotation needed.</t>
  </si>
  <si>
    <t>Excellent all-rounder; her Special 2 can control and weaken enemies, great for Story and Alliance War.</t>
  </si>
  <si>
    <t>Just build power and fire Special 2 — very consistent and reliable.</t>
  </si>
  <si>
    <t>Very strong once you learn his combo/rotation — turns enemy specials into his own power.</t>
  </si>
  <si>
    <t>Takes a bit more strategy/practice to get the timing of his rotation right.</t>
  </si>
  <si>
    <t>Hulkbuster</t>
  </si>
  <si>
    <t>Support-style champ who helps keep the team alive and buffed, useful in longer content.</t>
  </si>
  <si>
    <t>Ironheart</t>
  </si>
  <si>
    <t>Simple to pilot — mostly about staying alive and letting his passive buffs work.</t>
  </si>
  <si>
    <t>TECH CLASS</t>
  </si>
  <si>
    <t>Nimrod</t>
  </si>
  <si>
    <t>Excellent against Mutant opponents (very common in Story) — shocks them and shuts down their regeneration.</t>
  </si>
  <si>
    <t>Switch between his two modes and attack — straightforward once you know his 2 modes.</t>
  </si>
  <si>
    <t>Viv (Vision)</t>
  </si>
  <si>
    <t>Smart utility champ good for outlasting enemies and controlling fights with debuffs.</t>
  </si>
  <si>
    <t>Needs a little strategy/planning but not hard timing — more about picking the right moment.</t>
  </si>
  <si>
    <t>Reduces the effect of punishing nodes, making hard paths in Story/Quests much easier.</t>
  </si>
  <si>
    <t>Tricky/unpredictable playstyle — takes some getting used to.</t>
  </si>
  <si>
    <t>Canadian</t>
  </si>
  <si>
    <t>Maker</t>
  </si>
  <si>
    <t>Deadpool (X-Force)</t>
  </si>
  <si>
    <t>Powerful utility for tough content but requires understanding his mechanics well.</t>
  </si>
  <si>
    <t>Goldpool</t>
  </si>
  <si>
    <t>More complex — best for players ready to learn a detailed kit.</t>
  </si>
  <si>
    <t>Old Man Logan</t>
  </si>
  <si>
    <t>Great against buff-heavy or healing enemies; drains their power and blocks their healing.</t>
  </si>
  <si>
    <t>Fun, forgiving playstyle — good for beginners once basics are known.</t>
  </si>
  <si>
    <t>Platinum Pool</t>
  </si>
  <si>
    <t>Spider-Man 2099</t>
  </si>
  <si>
    <t>Simple, reliable damage dealer that works in most Story and Arena content.</t>
  </si>
  <si>
    <t>Just attack — no tricky mechanics, great for beginners.</t>
  </si>
  <si>
    <t>Countering Mutant champs is common in this game, and she covers that matchup well too.</t>
  </si>
  <si>
    <t>Wakandan</t>
  </si>
  <si>
    <t>Playstyle is more about utility than combos — approachable once basics are known.</t>
  </si>
  <si>
    <t>COSMIC CLASS</t>
  </si>
  <si>
    <t>Extremely strong damage-over-time (degeneration) champ, one of the best in the game for pure damage.</t>
  </si>
  <si>
    <t>AW : Secutor</t>
  </si>
  <si>
    <t>Simple to use offensively — his damage does the talking, minimal setup needed.</t>
  </si>
  <si>
    <t>Good node remover, especially useful against armored/tanky enemies.</t>
  </si>
  <si>
    <t>Play defensively and let his ability chip away nodes — beginner friendly.</t>
  </si>
  <si>
    <t>Captain America (Infinity War)</t>
  </si>
  <si>
    <t>Well-known, reliable all-rounder — works in almost every game mode without a bad matchup.</t>
  </si>
  <si>
    <t>Civil Warrior</t>
  </si>
  <si>
    <t>Very beginner friendly, straightforward attack pattern.</t>
  </si>
  <si>
    <t>Big raw damage output, great for pushing through story content quickly.</t>
  </si>
  <si>
    <t>Simple 'hit hard' playstyle, not much setup required.</t>
  </si>
  <si>
    <t>The All-Father (Odin)</t>
  </si>
  <si>
    <t>Support champ who helps keep the team topped up and buffed for longer fights.</t>
  </si>
  <si>
    <t>Hulk (Immortal)</t>
  </si>
  <si>
    <t>Easy to use — mostly about staying safe and letting his support abilities work.</t>
  </si>
  <si>
    <t>MYSTIC CLASS</t>
  </si>
  <si>
    <t>Flexible all-rounder who can be played multiple ways depending on the fight — good for Story and Quests.</t>
  </si>
  <si>
    <t>Requires understanding his tactic options, but forgiving once you pick one.</t>
  </si>
  <si>
    <t>Unique dimension-based mechanics make her strong in specific matchups, though harder to summarize simply.</t>
  </si>
  <si>
    <t>More advanced champ — takes time to learn her different modes.</t>
  </si>
  <si>
    <t>One of the most reliable, powerful Mystic champs — dominates most Story and Alliance War content.</t>
  </si>
  <si>
    <t>Simple special-attack loop once learned makes him surprisingly consistent.</t>
  </si>
  <si>
    <t>Rocket Raccoon</t>
  </si>
  <si>
    <t>Very tanky and hard to stop — great for absorbing damage in tough story fights.</t>
  </si>
  <si>
    <t>Beginner friendly — mostly about attacking and tanking hits, becomes unstoppable easily.</t>
  </si>
  <si>
    <t>Nico</t>
  </si>
  <si>
    <t>Deals strong damage-over-time effects, good against enemies who don't have DOT immunity.</t>
  </si>
  <si>
    <t>Reduces punishing nodes and deals damage passively — fairly simple to use.</t>
  </si>
  <si>
    <t>My persnol choose</t>
  </si>
  <si>
    <t>Vision (Deathless)</t>
  </si>
  <si>
    <t>AW : Provocateur</t>
  </si>
  <si>
    <t>class</t>
  </si>
  <si>
    <t>For too difficult matchup</t>
  </si>
  <si>
    <t>normal play</t>
  </si>
  <si>
    <t>Ebony Maw</t>
  </si>
  <si>
    <t>science</t>
  </si>
  <si>
    <t>silk</t>
  </si>
  <si>
    <t>Havok</t>
  </si>
  <si>
    <t>skill</t>
  </si>
  <si>
    <t>yelena</t>
  </si>
  <si>
    <t>mutant</t>
  </si>
  <si>
    <t>Onslught</t>
  </si>
  <si>
    <t>Mephisto</t>
  </si>
  <si>
    <t>Random</t>
  </si>
  <si>
    <t>VIVA, Iron heart</t>
  </si>
  <si>
    <t>Iron heart</t>
  </si>
  <si>
    <t>Wiccan, Kushala</t>
  </si>
  <si>
    <t>Black Widow CV</t>
  </si>
  <si>
    <t>Scarlet Witch (Sigil)</t>
  </si>
  <si>
    <t>Stark Tech</t>
  </si>
  <si>
    <t>Silver Centurion</t>
  </si>
  <si>
    <t>War Machine</t>
  </si>
  <si>
    <t>AW : Clarity</t>
  </si>
  <si>
    <t>Cosmic Ghost Rider</t>
  </si>
  <si>
    <t>Falcon</t>
  </si>
  <si>
    <t>Squirrel Girl</t>
  </si>
  <si>
    <t>AW : House of Mirrors</t>
  </si>
  <si>
    <t>Darkhawk</t>
  </si>
  <si>
    <t>The Overseer</t>
  </si>
  <si>
    <t>Cul's Worthy</t>
  </si>
  <si>
    <t>Thing</t>
  </si>
  <si>
    <t>AW : X - Magica</t>
  </si>
  <si>
    <t>Guillotine (Deathless)</t>
  </si>
  <si>
    <t>Jubilee</t>
  </si>
  <si>
    <t>AW : Magic Thief</t>
  </si>
  <si>
    <t>Immunity</t>
  </si>
  <si>
    <t>Masacre</t>
  </si>
  <si>
    <t>Description</t>
  </si>
  <si>
    <t>Champion Count</t>
  </si>
  <si>
    <t>Champions</t>
  </si>
  <si>
    <t>Ability Accuracy Reduction Immunity</t>
  </si>
  <si>
    <t>Ability Accuracy cannot be reduced.</t>
  </si>
  <si>
    <t>Archangel, Ironheart, Lady Deathstrike, Longshot, Mordo, Mysterio, Nimrod, Old Man Logan, Red Skull, Shuri</t>
  </si>
  <si>
    <t>Immunity to Armor Break, Armor Shatter effects</t>
  </si>
  <si>
    <t>Absorbing Man, Colossus, Diablo, Doctor Doom, Lady Deathstrike, Man-Thing, Mangog, Sasquatch, Sentinel, The Destroyer, Thing, Wiccan</t>
  </si>
  <si>
    <t>Absorbing Man, Colossus, Doctor Doom, Dragon Man, Man-Thing, Thing</t>
  </si>
  <si>
    <t>Bleed Immunity is a Passive Ability that makes a Champion immune to the effects of Bleed</t>
  </si>
  <si>
    <t>Absorbing Man, Apocalypse, Arnim Zola, Black Widow (Claire Voyant), Blue Marvel, Colossus, Cosmic Ghost Rider, Count Nefaria, Darkhawk, Dormammu, Dragon Man, Dust, Emma Frost, Gentle, Ghost Rider, Groot, Guillotine 2099, Howard The Duck, Iceman, Imperiosa, Iron Man (Infinity War), Isophyne, King Groot, King Groot (Deathless), Korg, Kushala, Luke Cage, Lumatrix, Madelyne Pryor, Magneto (House of X), Man-Thing, Mangog, Morningstar, Nebula, Nimrod, Photon, Prowler, Sandman, Sentinel, Solvarch, Spider-Slayer (J. Jonah Jameson), Terrax, The Destroyer, Thing, Ultron, Ultron (Classic), Unstoppable Colossus, Vision, Vision (Age of Ultron), Vision (Deathless), Viv Vision, Warlock, Kraven, Arcade, Magik, Purgatory, Mephisto, Purgatory, Purgatory, Dormammu, Magik, Mephisto, The Hood, The Hood, Purgatory, Titania, Absorbing Man</t>
  </si>
  <si>
    <t>EQ : It's Complicated</t>
  </si>
  <si>
    <t>Grants immunity to buffs.</t>
  </si>
  <si>
    <t>Ant-Man, Black Widow (Claire Voyant), Cassie Lang, High Evolutionary, Lizard, Nico Minoru, Red Guardian, Spider Man 2099, Spot, Titania, Hulk, Silver Surfer</t>
  </si>
  <si>
    <t>Coldsnap immunity is an ability that allows a champion to not take damage from cold damage.</t>
  </si>
  <si>
    <t>Absorbing Man, Colossus, Emma Frost, Human Torch, Iceman, Iron Man (Infinity War), Ironheart, Isophyne, Karolina Dean, Mephisto, Sabretooth, Sentinel, Storm (Pyramid X), Thanos (Deathless), The Serpent, Vision (Deathless), Warlock, Doctor Strange, Dormammu, Storm, Storm (Pyramid X)</t>
  </si>
  <si>
    <t>Shocker, Spider-Punk, Yondu</t>
  </si>
  <si>
    <t>Death Immunity prevents a Champion from being Knocked Out and May confer other benefits.</t>
  </si>
  <si>
    <t>Hulk (Ragnarok)</t>
  </si>
  <si>
    <t>The Serpent, Moondragon, Phyla-Vell</t>
  </si>
  <si>
    <t>EQ : Romance</t>
  </si>
  <si>
    <t>Prowler, Spiral</t>
  </si>
  <si>
    <t>Galan, Mister Negative, Omega Sentinel, Red Skull, Sentry, The Champion, The Overseer, The Serpent, Thing, Viv Vision, Hulk, Hulkbuster, Mordo, Doctor Voodoo, Sorcerer Supreme, Wiccan, Wong</t>
  </si>
  <si>
    <t>Absorbing Man, Colossus, Emma Frost, Human Torch, Iceman, Ironheart, Isophyne, Karolina Dean, Mephisto, M’Baku, Sabretooth, Sasquatch, Sentinel, Storm (Pyramid X), Thanos (Deathless), Vision (Deathless), Warlock</t>
  </si>
  <si>
    <t>Dracula, Gorr, Kindred, Lady Deathstrike, Lizard, Phoenix, The Champion, The Serpent, Werewolf By Night</t>
  </si>
  <si>
    <t>Incinerate Immunity is a Passive Ability that makes a Champion immune to the effects of Incinerate</t>
  </si>
  <si>
    <t>Absorbing Man, Anti-Venom, Apocalypse, Arcade, Attuma, Black Widow (Claire Voyant), Colossus, Cosmic Ghost Rider, Dark Phoenix, Emma Frost, Ghost Rider, Havok, Human Torch, Iceman, Ikaris, Iron Man (Infamous), Ironheart, Jack O’Lantern, Kindred, Kitty Pryde, Kushala, Maestro, Night Thrasher, Peni Parker, Phoenix, Prowler, Purgatory, Red Goblin, Red Hulk, Sentry, Sunspot, Super-Skrull, Void, Vulture, Dazzler, Kitty Pryde, Dormammu, Doctor Strange, Storm, Storm (Pyramid X), Venompool, Human Torch, Red Hulk, Sunspot</t>
  </si>
  <si>
    <t>Gain Immunity to Infuriate Debuff.</t>
  </si>
  <si>
    <t>Kindred, The Destroyer</t>
  </si>
  <si>
    <t>Gain Immunity to Intimidate Debuff.</t>
  </si>
  <si>
    <t>Gain Immunity to Neutralize.</t>
  </si>
  <si>
    <t>High Evolutionary, Photon, Spider-Woman, The Overseer, Spider-Man (Supreme)</t>
  </si>
  <si>
    <t>Dark Phoenix, Iceman</t>
  </si>
  <si>
    <t>Civil Warrior, Dazzler, Doctor Bong, Galan, Mister Negative, Omega Sentinel, Red Skull, Sentry, The Overseer, Thing, Viv Vision, White Tiger, Crossbones, Punisher 2099, Red Skull, Hulk, Hulkbuster, Mangog, Odin, Mordo, Doctor Voodoo, Sorcerer Supreme, Wiccan, Wong, Vulture, Prowler</t>
  </si>
  <si>
    <t>Daredevil (Hell's Kitchen), Franken-Castle, Kingpin, The Champion, Wolverine (Weapon X)</t>
  </si>
  <si>
    <t>Poison Immunity is a Passive Ability that makes a Champion immune to the effects of Poison</t>
  </si>
  <si>
    <t>Abomination, Ant-Man, Anti-Venom, Arcade, Arnim Zola, Black Bolt, Black Tarantula, Black Widow (Claire Voyant), Captain Marvel, Captain Marvel (Classic), Cassie Lang, Darkhawk, Dormammu, Dragon Man, Dust, Emma Frost, Franken-Castle, Guillotine 2099, Hobgoblin (Phil Urich), Hulk, Hulk (Immortal), Hulk (Ragnarok), Hulkling, Hyperion, Iceman, Joe Fixit, Kindred, Lizard, Maestro, Medusa, Mephisto, Ms. Marvel, Ms. Marvel (Kamala Khan), Nebula, Nico Minoru, Nimrod, Omega Red, Peni Parker, Phyla-Vell, Red Hulk, Ronan, Sandman, Sauron, Scorpion, Sentinel, She-Hulk, She-Hulk (Deathless), Solvarch, Spider-Slayer (J. Jonah Jameson), Spider-Woman, Thanos (Deathless), The Destroyer, The Leader, The Overseer, Toad, Ultron, Ultron (Classic), Vision, Vision (Age of Ultron), Vision (Deathless), Viv Vision, Vox, Warlock, Yelena Belova, Absorbing Man, Abomination (Immortal), Hulk (Immortal), Hawkeye, Black Widow, Black Widow (Deadly Origin), Nick Fury, Quake, Vulture, Sentry, Ultron, War Machine</t>
  </si>
  <si>
    <t>Galan, Gladiator, Hulkling, King Groot, King Groot (Deathless), Phoenix, Red Goblin, Vox, Thanos (Deathless), Vision (Deathless)</t>
  </si>
  <si>
    <t>Beta Ray Bill, Dark Phoenix, Galan, Gladiator, Hulkling, Imperiosa, King Groot, King Groot (Deathless), Phoenix, Vox, Thanos (Deathless), Vision (Deathless)</t>
  </si>
  <si>
    <t>Immune to Power Lock.</t>
  </si>
  <si>
    <t>Enchantress, Galan, Karolina Dean, Phoenix, The Serpent, Vox</t>
  </si>
  <si>
    <t>Blue Marvel, Cassie Lang, Count Nefaria, Hulkling, Photon, Sauron, Spider-Woman</t>
  </si>
  <si>
    <t>Grants immunity to reverse controls</t>
  </si>
  <si>
    <t>Ironheart, Jack O’Lantern, Jean Grey, Juggernaut, Mister Sinister, Moondragon, Professor X, The Maker, Viv Vision, Wiccan, Hulk, The Overseer, Hulk (Immortal), The Overseer, Hulk (Ragnarok), The Overseer, Joe Fixit, The Overseer, Kitty Pryde, Emma Frost, Mysterio, Emma Frost, Prowler, Spider-Punk, Spider-Punk, Prowler, Spiral, Gambit, Rogue, The Overseer, Hulk, Hulk (Immortal), Hulk (Ragnarok), Joe Fixit, Vision (Deathless), Thanos (Deathless)</t>
  </si>
  <si>
    <t>High Evolutionary, Lady Deathstrike, Lumatrix, Madelyne Pryor, Nico Minoru, Scorpion, Spider-Punk, She-Hulk (Deathless), Thanos (Deathless)</t>
  </si>
  <si>
    <t>Shock Immunity is a Passive Ability that makes a Champion immune to the effects of Shock</t>
  </si>
  <si>
    <t>Absorbing Man, Ant-Man, Arcade, Beta Ray Bill, Cassie Lang, Doctor Doom, Dust, Electro, Emma Frost, Hulkling, Ikaris, Iron Man (Infamous), Korg, Maestro, Mole Man, Nebula, Sandman, Scorpion, Shocker, Shuri, Storm, Super-Skrull, Terrax, Thing, Thor (Ragnarok), Vulture, Kingpin, Masacre, Yellow Jacket</t>
  </si>
  <si>
    <t>The Destroyer, Ultron</t>
  </si>
  <si>
    <t>Galan, Imperiosa, Karolina Dean, Phoenix, Phyla-Vell, The Serpent, Vox, Venompool, Spider-Man (Supreme)</t>
  </si>
  <si>
    <t>Vision</t>
  </si>
  <si>
    <t>Civil Warrior, Mister Negative, Omega Sentinel, Red Skull, The Overseer, Thing, Crossbones, Punisher 2099, Red Skull, Hulk, Hulkbuster</t>
  </si>
  <si>
    <t>This ability allows the Champion to ignore incoming Stun debuffs</t>
  </si>
  <si>
    <t>Diablo, Emma Frost, Gentle, Hercules, Kindred, Kitty Pryde, Nick Fury, Rintrah, Spot, The Hood, Viv Vision, Hulkling, Wiccan, Peni Parker, Air-Walker, Falcon</t>
  </si>
  <si>
    <t>Gain Immunity to Taunt Debuff.</t>
  </si>
  <si>
    <t>RAIDS : Vanguard</t>
  </si>
  <si>
    <t>Punisher, Thor (Ragnarok)</t>
  </si>
  <si>
    <t>RAIDS : Tactician</t>
  </si>
  <si>
    <t>RAIDS : Assault</t>
  </si>
  <si>
    <t>Jack O’Lantern</t>
  </si>
  <si>
    <t>Deathless</t>
  </si>
  <si>
    <t>AW: Sturdy</t>
  </si>
  <si>
    <t>000% Awesome</t>
  </si>
  <si>
    <t>AW: Crush</t>
  </si>
  <si>
    <t>A-Force</t>
  </si>
  <si>
    <t>Ms. Marvel</t>
  </si>
  <si>
    <t>Ms. Marvel (Kamala Khan)</t>
  </si>
  <si>
    <t>Alpha Flight</t>
  </si>
  <si>
    <t>Yellow Jacket</t>
  </si>
  <si>
    <t>Abomination</t>
  </si>
  <si>
    <t>Gamma</t>
  </si>
  <si>
    <t>Red Hulk</t>
  </si>
  <si>
    <t>Avengers</t>
  </si>
  <si>
    <t>Silver</t>
  </si>
  <si>
    <t>Legion Of Monsters</t>
  </si>
  <si>
    <t>AW: Sugar Pill</t>
  </si>
  <si>
    <t>Dormammu</t>
  </si>
  <si>
    <t>AW: Decay</t>
  </si>
  <si>
    <t>AW: Defiance</t>
  </si>
  <si>
    <t>Mighty Avengers</t>
  </si>
  <si>
    <t>AW: Armor Burn</t>
  </si>
  <si>
    <t>AW: Conduit</t>
  </si>
  <si>
    <t>AW: Prowess Power</t>
  </si>
  <si>
    <t>Young Avengers</t>
  </si>
  <si>
    <t>AW: Planetary Endurance</t>
  </si>
  <si>
    <t>AW: Subdue</t>
  </si>
  <si>
    <t>AW: Unsteady Ground</t>
  </si>
  <si>
    <t>Quake</t>
  </si>
  <si>
    <t>Carina's Challengers</t>
  </si>
  <si>
    <t>Guillotine</t>
  </si>
  <si>
    <t>blessed</t>
  </si>
  <si>
    <t>Brotherhood of Mutants</t>
  </si>
  <si>
    <t>noexcuses</t>
  </si>
  <si>
    <t>nofilter</t>
  </si>
  <si>
    <t>goals</t>
  </si>
  <si>
    <t>Winning</t>
  </si>
  <si>
    <t>Rising Power</t>
  </si>
  <si>
    <t>God</t>
  </si>
  <si>
    <t>Hela</t>
  </si>
  <si>
    <t>Devilishly Handsome</t>
  </si>
  <si>
    <t>X-Men</t>
  </si>
  <si>
    <t>Beast</t>
  </si>
  <si>
    <t>Chronos Corps</t>
  </si>
  <si>
    <t>Control: Counter</t>
  </si>
  <si>
    <t>Unstoppable Colossus</t>
  </si>
  <si>
    <t>X-Force</t>
  </si>
  <si>
    <t>Control: Denial</t>
  </si>
  <si>
    <t>Thunderbolts</t>
  </si>
  <si>
    <t>Psycho-Man</t>
  </si>
  <si>
    <t>Defenders</t>
  </si>
  <si>
    <t>Iron Fist</t>
  </si>
  <si>
    <t>Defensive: Guard</t>
  </si>
  <si>
    <t>Thanos's Army</t>
  </si>
  <si>
    <t>Captain America (WWII)</t>
  </si>
  <si>
    <t>Symbiote</t>
  </si>
  <si>
    <t>Summoned Symbioid</t>
  </si>
  <si>
    <t>Defensive: Tank</t>
  </si>
  <si>
    <t>Sinister Six</t>
  </si>
  <si>
    <t>Groot</t>
  </si>
  <si>
    <t>S.H.I.E.L.D.</t>
  </si>
  <si>
    <t>Defensive: Utility</t>
  </si>
  <si>
    <t>New Avengers</t>
  </si>
  <si>
    <t>Iron Fist (Immortal)</t>
  </si>
  <si>
    <t>Kree</t>
  </si>
  <si>
    <t>Ultron (Classic)</t>
  </si>
  <si>
    <t>Inhuman Royal Family</t>
  </si>
  <si>
    <t>Black Bolt</t>
  </si>
  <si>
    <t>Inhuman</t>
  </si>
  <si>
    <t>Dimensional Being</t>
  </si>
  <si>
    <t>Illuminati</t>
  </si>
  <si>
    <t>Guardians of the Galaxy</t>
  </si>
  <si>
    <t>Drax</t>
  </si>
  <si>
    <t>Elder</t>
  </si>
  <si>
    <t>Fantastic Four</t>
  </si>
  <si>
    <t>Flying</t>
  </si>
  <si>
    <t>Villain of the Contest</t>
  </si>
  <si>
    <t>Villain</t>
  </si>
  <si>
    <t>Hero</t>
  </si>
  <si>
    <t>Agatha Harkness</t>
  </si>
  <si>
    <t>Spider-Verse Heroes</t>
  </si>
  <si>
    <t>Size: XL</t>
  </si>
  <si>
    <t>Nebula</t>
  </si>
  <si>
    <t>Size: L</t>
  </si>
  <si>
    <t>Mercenary</t>
  </si>
  <si>
    <t>Metal</t>
  </si>
  <si>
    <t>Size: M</t>
  </si>
  <si>
    <t>Offensive: Burst</t>
  </si>
  <si>
    <t>Combat Style</t>
  </si>
  <si>
    <t>Offensive: Damage Over Time</t>
  </si>
  <si>
    <t>Offensive: Raw Damage</t>
  </si>
  <si>
    <t>Psychic Shielding</t>
  </si>
  <si>
    <t>Size: S</t>
  </si>
  <si>
    <t>Robot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</si>
</sst>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b/>
      <sz val="10"/>
      <color rgb="FFFFFFFF"/>
      <name val="Arial"/>
    </font>
    <font>
      <b/>
      <sz val="11"/>
      <color rgb="FFFFFFFF"/>
      <name val="Arial"/>
    </font>
    <font>
      <b/>
      <sz val="11"/>
      <color theme="1"/>
      <name val="Calibri"/>
    </font>
    <font>
      <sz val="11"/>
      <color rgb="FF000000"/>
      <name val="Calibri"/>
    </font>
    <font>
      <sz val="10"/>
      <color theme="1"/>
      <name val="Arial"/>
      <scheme val="minor"/>
    </font>
    <font>
      <sz val="10"/>
      <name val="Arial"/>
    </font>
    <font>
      <sz val="10"/>
      <color rgb="FFCCCCCC"/>
      <name val="Arial"/>
    </font>
    <font>
      <sz val="10"/>
      <color rgb="FF267226"/>
      <name val="Arial"/>
    </font>
    <font>
      <b/>
      <sz val="16"/>
      <color rgb="FFFFFFFF"/>
      <name val="Arial"/>
    </font>
    <font>
      <i/>
      <sz val="10"/>
      <color rgb="FF000000"/>
      <name val="Arial"/>
    </font>
    <font>
      <b/>
      <sz val="12"/>
      <color rgb="FFFFFFFF"/>
      <name val="Arial"/>
    </font>
    <font>
      <b/>
      <sz val="11"/>
      <color rgb="FF000000"/>
      <name val="Arial"/>
    </font>
    <font>
      <sz val="11"/>
      <color rgb="FF000000"/>
      <name val="Arial"/>
    </font>
    <font>
      <sz val="10"/>
      <color rgb="FFFFFFFF"/>
      <name val="Arial"/>
      <scheme val="minor"/>
    </font>
  </fonts>
  <fills count="14">
    <fill>
      <patternFill patternType="none"/>
    </fill>
    <fill>
      <patternFill patternType="gray125"/>
    </fill>
    <fill>
      <patternFill patternType="solid">
        <fgColor rgb="FF000000"/>
        <bgColor rgb="FF000000"/>
      </patternFill>
    </fill>
    <fill>
      <patternFill patternType="solid">
        <fgColor rgb="FF1F2937"/>
        <bgColor rgb="FF1F2937"/>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D8EAD3"/>
        <bgColor rgb="FFD8EAD3"/>
      </patternFill>
    </fill>
    <fill>
      <patternFill patternType="solid">
        <fgColor rgb="FF00FF00"/>
        <bgColor rgb="FF00FF00"/>
      </patternFill>
    </fill>
    <fill>
      <patternFill patternType="solid">
        <fgColor rgb="FFC00000"/>
        <bgColor rgb="FFC00000"/>
      </patternFill>
    </fill>
    <fill>
      <patternFill patternType="solid">
        <fgColor rgb="FFFFFFFF"/>
        <bgColor rgb="FFFFFFFF"/>
      </patternFill>
    </fill>
    <fill>
      <patternFill patternType="solid">
        <fgColor rgb="FFF2F2F2"/>
        <bgColor rgb="FFF2F2F2"/>
      </patternFill>
    </fill>
    <fill>
      <patternFill patternType="solid">
        <fgColor rgb="FFEA9999"/>
        <bgColor rgb="FFEA9999"/>
      </patternFill>
    </fill>
    <fill>
      <patternFill patternType="solid">
        <fgColor rgb="FFFFE599"/>
        <bgColor rgb="FFFFE599"/>
      </patternFill>
    </fill>
  </fills>
  <borders count="12">
    <border>
      <left/>
      <right/>
      <top/>
      <bottom/>
      <diagonal/>
    </border>
    <border>
      <left style="thin">
        <color rgb="FF4285F4"/>
      </left>
      <right style="thin">
        <color rgb="FF4285F4"/>
      </right>
      <top style="thin">
        <color rgb="FF4285F4"/>
      </top>
      <bottom style="thin">
        <color rgb="FF4285F4"/>
      </bottom>
      <diagonal/>
    </border>
    <border>
      <left style="thin">
        <color rgb="FF000000"/>
      </left>
      <right style="thin">
        <color rgb="FF000000"/>
      </right>
      <top style="thin">
        <color rgb="FF000000"/>
      </top>
      <bottom style="thin">
        <color rgb="FF000000"/>
      </bottom>
      <diagonal/>
    </border>
    <border>
      <left style="thin">
        <color rgb="FF4285F4"/>
      </left>
      <right/>
      <top style="thin">
        <color rgb="FF4285F4"/>
      </top>
      <bottom style="thin">
        <color rgb="FF4285F4"/>
      </bottom>
      <diagonal/>
    </border>
    <border>
      <left/>
      <right/>
      <top style="thin">
        <color rgb="FF4285F4"/>
      </top>
      <bottom style="thin">
        <color rgb="FF4285F4"/>
      </bottom>
      <diagonal/>
    </border>
    <border>
      <left/>
      <right style="thin">
        <color rgb="FF4285F4"/>
      </right>
      <top style="thin">
        <color rgb="FF4285F4"/>
      </top>
      <bottom style="thin">
        <color rgb="FF4285F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xf numFmtId="0" fontId="3" fillId="3" borderId="0" xfId="0" applyFont="1" applyFill="1" applyAlignment="1">
      <alignment horizontal="center"/>
    </xf>
    <xf numFmtId="0" fontId="4" fillId="0" borderId="0" xfId="0" applyFont="1"/>
    <xf numFmtId="0" fontId="5" fillId="0" borderId="2" xfId="0" applyFont="1" applyBorder="1"/>
    <xf numFmtId="0" fontId="5" fillId="6" borderId="1" xfId="0" applyFont="1" applyFill="1" applyBorder="1" applyAlignment="1">
      <alignment horizontal="center"/>
    </xf>
    <xf numFmtId="0" fontId="7" fillId="0" borderId="1" xfId="0" applyFont="1" applyBorder="1" applyAlignment="1">
      <alignment horizontal="center"/>
    </xf>
    <xf numFmtId="0" fontId="5" fillId="0" borderId="0" xfId="0" applyFont="1"/>
    <xf numFmtId="0" fontId="5" fillId="0" borderId="0" xfId="0" applyFont="1" applyAlignment="1">
      <alignment horizontal="left" vertical="center"/>
    </xf>
    <xf numFmtId="0" fontId="8" fillId="7" borderId="1" xfId="0" applyFont="1" applyFill="1" applyBorder="1" applyAlignment="1">
      <alignment horizontal="center"/>
    </xf>
    <xf numFmtId="0" fontId="5" fillId="0" borderId="1" xfId="0" applyFont="1" applyBorder="1" applyAlignment="1">
      <alignment vertical="center"/>
    </xf>
    <xf numFmtId="0" fontId="5" fillId="4" borderId="0" xfId="0" applyFont="1" applyFill="1" applyAlignment="1">
      <alignment horizontal="center"/>
    </xf>
    <xf numFmtId="0" fontId="12" fillId="6" borderId="6" xfId="0" applyFont="1" applyFill="1" applyBorder="1"/>
    <xf numFmtId="0" fontId="12" fillId="10" borderId="6" xfId="0" applyFont="1" applyFill="1" applyBorder="1"/>
    <xf numFmtId="0" fontId="2" fillId="0" borderId="6" xfId="0" applyFont="1" applyBorder="1" applyAlignment="1">
      <alignment horizontal="center"/>
    </xf>
    <xf numFmtId="0" fontId="12" fillId="0" borderId="6" xfId="0" applyFont="1" applyBorder="1" applyAlignment="1">
      <alignment horizontal="left"/>
    </xf>
    <xf numFmtId="0" fontId="13" fillId="0" borderId="6" xfId="0" applyFont="1" applyBorder="1" applyAlignment="1">
      <alignment horizontal="left"/>
    </xf>
    <xf numFmtId="0" fontId="12" fillId="11" borderId="6" xfId="0" applyFont="1" applyFill="1" applyBorder="1" applyAlignment="1">
      <alignment horizontal="left"/>
    </xf>
    <xf numFmtId="0" fontId="13" fillId="11" borderId="6" xfId="0" applyFont="1" applyFill="1" applyBorder="1" applyAlignment="1">
      <alignment horizontal="left"/>
    </xf>
    <xf numFmtId="0" fontId="5" fillId="13" borderId="2" xfId="0" applyFont="1" applyFill="1" applyBorder="1"/>
    <xf numFmtId="0" fontId="3" fillId="0" borderId="0" xfId="0" applyFont="1"/>
    <xf numFmtId="0" fontId="14" fillId="10" borderId="0" xfId="0" applyFont="1" applyFill="1"/>
    <xf numFmtId="0" fontId="5" fillId="5" borderId="3" xfId="0" applyFont="1" applyFill="1" applyBorder="1" applyAlignment="1">
      <alignment horizontal="center"/>
    </xf>
    <xf numFmtId="0" fontId="6" fillId="0" borderId="4" xfId="0" applyFont="1" applyBorder="1"/>
    <xf numFmtId="0" fontId="6" fillId="0" borderId="5" xfId="0" applyFont="1" applyBorder="1"/>
    <xf numFmtId="0" fontId="5" fillId="8" borderId="0" xfId="0" applyFont="1" applyFill="1" applyAlignment="1">
      <alignment horizontal="center"/>
    </xf>
    <xf numFmtId="0" fontId="0" fillId="0" borderId="0" xfId="0"/>
    <xf numFmtId="0" fontId="5" fillId="4" borderId="0" xfId="0" applyFont="1" applyFill="1" applyAlignment="1">
      <alignment horizontal="center"/>
    </xf>
    <xf numFmtId="0" fontId="13" fillId="6" borderId="7" xfId="0" applyFont="1" applyFill="1" applyBorder="1"/>
    <xf numFmtId="0" fontId="6" fillId="0" borderId="8" xfId="0" applyFont="1" applyBorder="1"/>
    <xf numFmtId="0" fontId="11" fillId="9" borderId="0" xfId="0" applyFont="1" applyFill="1" applyAlignment="1">
      <alignment horizontal="left"/>
    </xf>
    <xf numFmtId="0" fontId="5" fillId="12" borderId="9" xfId="0" applyFont="1" applyFill="1" applyBorder="1" applyAlignment="1">
      <alignment horizontal="center"/>
    </xf>
    <xf numFmtId="0" fontId="6" fillId="0" borderId="10" xfId="0" applyFont="1" applyBorder="1"/>
    <xf numFmtId="0" fontId="6" fillId="0" borderId="11" xfId="0" applyFont="1" applyBorder="1"/>
    <xf numFmtId="0" fontId="13" fillId="10" borderId="7" xfId="0" applyFont="1" applyFill="1" applyBorder="1"/>
    <xf numFmtId="0" fontId="9" fillId="0" borderId="0" xfId="0" applyFont="1" applyAlignment="1">
      <alignment horizontal="center"/>
    </xf>
    <xf numFmtId="0" fontId="10" fillId="0" borderId="0" xfId="0" applyFont="1" applyAlignment="1">
      <alignment horizont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tory champion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mpion_Tier_List" displayName="Champion_Tier_List" ref="A13:F29">
  <tableColumns count="6">
    <tableColumn id="1" xr3:uid="{00000000-0010-0000-0000-000001000000}" name="Best Cosmic"/>
    <tableColumn id="2" xr3:uid="{00000000-0010-0000-0000-000002000000}" name="Best Mystic"/>
    <tableColumn id="3" xr3:uid="{00000000-0010-0000-0000-000003000000}" name="Best Mutant"/>
    <tableColumn id="4" xr3:uid="{00000000-0010-0000-0000-000004000000}" name="Best Science"/>
    <tableColumn id="5" xr3:uid="{00000000-0010-0000-0000-000005000000}" name="Best Skill"/>
    <tableColumn id="6" xr3:uid="{00000000-0010-0000-0000-000006000000}" name="Best Tech"/>
  </tableColumns>
  <tableStyleInfo name="Story champ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000"/>
  <sheetViews>
    <sheetView workbookViewId="0">
      <selection activeCell="D23" sqref="D23"/>
    </sheetView>
  </sheetViews>
  <sheetFormatPr defaultColWidth="12.5703125" defaultRowHeight="15.75" customHeight="1" x14ac:dyDescent="0.2"/>
  <cols>
    <col min="1" max="1" width="24" customWidth="1"/>
  </cols>
  <sheetData>
    <row r="1" spans="1:44" x14ac:dyDescent="0.2">
      <c r="A1" s="1" t="s">
        <v>0</v>
      </c>
      <c r="B1" s="1" t="str">
        <f t="array" ref="B1:AR1">TRANSPOSE(Main!A2:A44)</f>
        <v>Ability Accuracy Reduction Immunity</v>
      </c>
      <c r="C1" s="1" t="str">
        <v>Armor Break Immunity</v>
      </c>
      <c r="D1" s="1" t="str">
        <v>Armor Shattered Immunity</v>
      </c>
      <c r="E1" s="1" t="str">
        <v>Bad Vibes Immunity</v>
      </c>
      <c r="F1" s="1" t="str">
        <v>Bleed Immunity</v>
      </c>
      <c r="G1" s="1" t="str">
        <v>Buff immunity</v>
      </c>
      <c r="H1" s="1" t="str">
        <v>Coldsnap Immunity</v>
      </c>
      <c r="I1" s="1" t="str">
        <v>Concussion Immunnity</v>
      </c>
      <c r="J1" s="1" t="str">
        <v>Crush Immunity</v>
      </c>
      <c r="K1" s="1" t="str">
        <v>Death Immunity</v>
      </c>
      <c r="L1" s="1" t="str">
        <v>Delirium Immunity</v>
      </c>
      <c r="M1" s="1" t="str">
        <v>Disintegrate Immunity</v>
      </c>
      <c r="N1" s="1" t="str">
        <v>Disorient Immunity</v>
      </c>
      <c r="O1" s="1" t="str">
        <v>Falter Immunity</v>
      </c>
      <c r="P1" s="1" t="str">
        <v>Fate Seal Immunity</v>
      </c>
      <c r="Q1" s="1" t="str">
        <v>Fatigue Immunity</v>
      </c>
      <c r="R1" s="1" t="str">
        <v>Frostbite Immunity</v>
      </c>
      <c r="S1" s="1" t="str">
        <v>Heal Block Immunity</v>
      </c>
      <c r="T1" s="1" t="str">
        <v>Incinerate Immunity</v>
      </c>
      <c r="U1" s="1" t="str">
        <v>Infuriate Immunity</v>
      </c>
      <c r="V1" s="1" t="str">
        <v>Intimidate Immunity</v>
      </c>
      <c r="W1" s="1" t="str">
        <v>Neuroshock Immunity</v>
      </c>
      <c r="X1" s="1" t="str">
        <v>Neutralize Immunity</v>
      </c>
      <c r="Y1" s="1" t="str">
        <v>Nova Flame Immunity</v>
      </c>
      <c r="Z1" s="1" t="str">
        <v>Nullify Immunity</v>
      </c>
      <c r="AA1" s="1" t="str">
        <v>Petrify Immunity</v>
      </c>
      <c r="AB1" s="1" t="str">
        <v>Poison Immunity</v>
      </c>
      <c r="AC1" s="1" t="str">
        <v>Power Burn Immunity</v>
      </c>
      <c r="AD1" s="1" t="str">
        <v>Power Drain Immunity</v>
      </c>
      <c r="AE1" s="1" t="str">
        <v>Power Lock Immunity</v>
      </c>
      <c r="AF1" s="1" t="str">
        <v>Power Steal Immunity</v>
      </c>
      <c r="AG1" s="1" t="str">
        <v>Power Sting Immunity</v>
      </c>
      <c r="AH1" s="1" t="str">
        <v>Precision Immunity</v>
      </c>
      <c r="AI1" s="1" t="str">
        <v>Reverse Control Immunity</v>
      </c>
      <c r="AJ1" s="1" t="str">
        <v>Rupture Immunity</v>
      </c>
      <c r="AK1" s="1" t="str">
        <v>Shock Immunity</v>
      </c>
      <c r="AL1" s="1" t="str">
        <v>Slow Immunity</v>
      </c>
      <c r="AM1" s="1" t="str">
        <v>Special Lock Immunity</v>
      </c>
      <c r="AN1" s="1" t="str">
        <v>Spectre Immunity</v>
      </c>
      <c r="AO1" s="1" t="str">
        <v>Stagger Immunity</v>
      </c>
      <c r="AP1" s="1" t="str">
        <v>Stun Immunity</v>
      </c>
      <c r="AQ1" s="1" t="str">
        <v>Taunt Immunity</v>
      </c>
      <c r="AR1" s="1" t="str">
        <v>Wither Immunity</v>
      </c>
    </row>
    <row r="2" spans="1:44" x14ac:dyDescent="0.2">
      <c r="A2" s="1" t="str">
        <f ca="1">IFERROR(__xludf.DUMMYFUNCTION("LET(raw, TEXTJOIN("","", TRUE, Main!D2:D44), arr, SPLIT(raw, "","", FALSE, TRUE), unq, SORT(UNIQUE(TRIM(FLATTEN(arr)))), FILTER(unq, unq&lt;&gt;""""))"),"Abomination")</f>
        <v>Abomination</v>
      </c>
      <c r="B2" s="6" t="s">
        <v>152</v>
      </c>
      <c r="C2" s="6" t="s">
        <v>152</v>
      </c>
      <c r="D2" s="6" t="s">
        <v>152</v>
      </c>
      <c r="E2" s="6" t="s">
        <v>152</v>
      </c>
      <c r="F2" s="6" t="s">
        <v>152</v>
      </c>
      <c r="G2" s="6" t="s">
        <v>152</v>
      </c>
      <c r="H2" s="6" t="s">
        <v>152</v>
      </c>
      <c r="I2" s="6" t="s">
        <v>152</v>
      </c>
      <c r="J2" s="6" t="s">
        <v>152</v>
      </c>
      <c r="K2" s="6" t="s">
        <v>152</v>
      </c>
      <c r="L2" s="6" t="s">
        <v>152</v>
      </c>
      <c r="M2" s="6" t="s">
        <v>152</v>
      </c>
      <c r="N2" s="6" t="s">
        <v>152</v>
      </c>
      <c r="O2" s="6" t="s">
        <v>152</v>
      </c>
      <c r="P2" s="6" t="s">
        <v>152</v>
      </c>
      <c r="Q2" s="6" t="s">
        <v>152</v>
      </c>
      <c r="R2" s="6" t="s">
        <v>152</v>
      </c>
      <c r="S2" s="6" t="s">
        <v>152</v>
      </c>
      <c r="T2" s="6" t="s">
        <v>152</v>
      </c>
      <c r="U2" s="6" t="s">
        <v>152</v>
      </c>
      <c r="V2" s="6" t="s">
        <v>152</v>
      </c>
      <c r="W2" s="6" t="s">
        <v>152</v>
      </c>
      <c r="X2" s="6" t="s">
        <v>152</v>
      </c>
      <c r="Y2" s="6" t="s">
        <v>152</v>
      </c>
      <c r="Z2" s="6" t="s">
        <v>152</v>
      </c>
      <c r="AA2" s="6" t="s">
        <v>152</v>
      </c>
      <c r="AB2" s="9" t="s">
        <v>165</v>
      </c>
      <c r="AC2" s="6" t="s">
        <v>152</v>
      </c>
      <c r="AD2" s="6" t="s">
        <v>152</v>
      </c>
      <c r="AE2" s="6" t="s">
        <v>152</v>
      </c>
      <c r="AF2" s="6" t="s">
        <v>152</v>
      </c>
      <c r="AG2" s="6" t="s">
        <v>152</v>
      </c>
      <c r="AH2" s="6" t="s">
        <v>152</v>
      </c>
      <c r="AI2" s="6" t="s">
        <v>152</v>
      </c>
      <c r="AJ2" s="6" t="s">
        <v>152</v>
      </c>
      <c r="AK2" s="6" t="s">
        <v>152</v>
      </c>
      <c r="AL2" s="6" t="s">
        <v>152</v>
      </c>
      <c r="AM2" s="6" t="s">
        <v>152</v>
      </c>
      <c r="AN2" s="6" t="s">
        <v>152</v>
      </c>
      <c r="AO2" s="6" t="s">
        <v>152</v>
      </c>
      <c r="AP2" s="6" t="s">
        <v>152</v>
      </c>
      <c r="AQ2" s="6" t="s">
        <v>152</v>
      </c>
      <c r="AR2" s="6" t="s">
        <v>152</v>
      </c>
    </row>
    <row r="3" spans="1:44" x14ac:dyDescent="0.2">
      <c r="A3" s="1" t="str">
        <f ca="1">IFERROR(__xludf.DUMMYFUNCTION("""COMPUTED_VALUE"""),"Abomination (Immortal)")</f>
        <v>Abomination (Immortal)</v>
      </c>
      <c r="B3" s="6" t="s">
        <v>152</v>
      </c>
      <c r="C3" s="6" t="s">
        <v>152</v>
      </c>
      <c r="D3" s="6" t="s">
        <v>152</v>
      </c>
      <c r="E3" s="6" t="s">
        <v>152</v>
      </c>
      <c r="F3" s="6" t="s">
        <v>152</v>
      </c>
      <c r="G3" s="6" t="s">
        <v>152</v>
      </c>
      <c r="H3" s="6" t="s">
        <v>152</v>
      </c>
      <c r="I3" s="6" t="s">
        <v>152</v>
      </c>
      <c r="J3" s="6" t="s">
        <v>152</v>
      </c>
      <c r="K3" s="6" t="s">
        <v>152</v>
      </c>
      <c r="L3" s="6" t="s">
        <v>152</v>
      </c>
      <c r="M3" s="6" t="s">
        <v>152</v>
      </c>
      <c r="N3" s="6" t="s">
        <v>152</v>
      </c>
      <c r="O3" s="6" t="s">
        <v>152</v>
      </c>
      <c r="P3" s="6" t="s">
        <v>152</v>
      </c>
      <c r="Q3" s="6" t="s">
        <v>152</v>
      </c>
      <c r="R3" s="6" t="s">
        <v>152</v>
      </c>
      <c r="S3" s="6" t="s">
        <v>152</v>
      </c>
      <c r="T3" s="6" t="s">
        <v>152</v>
      </c>
      <c r="U3" s="6" t="s">
        <v>152</v>
      </c>
      <c r="V3" s="6" t="s">
        <v>152</v>
      </c>
      <c r="W3" s="6" t="s">
        <v>152</v>
      </c>
      <c r="X3" s="6" t="s">
        <v>152</v>
      </c>
      <c r="Y3" s="6" t="s">
        <v>152</v>
      </c>
      <c r="Z3" s="6" t="s">
        <v>152</v>
      </c>
      <c r="AA3" s="6" t="s">
        <v>152</v>
      </c>
      <c r="AB3" s="9" t="s">
        <v>165</v>
      </c>
      <c r="AC3" s="6" t="s">
        <v>152</v>
      </c>
      <c r="AD3" s="6" t="s">
        <v>152</v>
      </c>
      <c r="AE3" s="6" t="s">
        <v>152</v>
      </c>
      <c r="AF3" s="6" t="s">
        <v>152</v>
      </c>
      <c r="AG3" s="6" t="s">
        <v>152</v>
      </c>
      <c r="AH3" s="6" t="s">
        <v>152</v>
      </c>
      <c r="AI3" s="6" t="s">
        <v>152</v>
      </c>
      <c r="AJ3" s="6" t="s">
        <v>152</v>
      </c>
      <c r="AK3" s="6" t="s">
        <v>152</v>
      </c>
      <c r="AL3" s="6" t="s">
        <v>152</v>
      </c>
      <c r="AM3" s="6" t="s">
        <v>152</v>
      </c>
      <c r="AN3" s="6" t="s">
        <v>152</v>
      </c>
      <c r="AO3" s="6" t="s">
        <v>152</v>
      </c>
      <c r="AP3" s="6" t="s">
        <v>152</v>
      </c>
      <c r="AQ3" s="6" t="s">
        <v>152</v>
      </c>
      <c r="AR3" s="6" t="s">
        <v>152</v>
      </c>
    </row>
    <row r="4" spans="1:44" x14ac:dyDescent="0.2">
      <c r="A4" s="1" t="str">
        <f ca="1">IFERROR(__xludf.DUMMYFUNCTION("""COMPUTED_VALUE"""),"Absorbing Man")</f>
        <v>Absorbing Man</v>
      </c>
      <c r="B4" s="6" t="s">
        <v>152</v>
      </c>
      <c r="C4" s="9" t="s">
        <v>165</v>
      </c>
      <c r="D4" s="9" t="s">
        <v>165</v>
      </c>
      <c r="E4" s="6" t="s">
        <v>152</v>
      </c>
      <c r="F4" s="9" t="s">
        <v>165</v>
      </c>
      <c r="G4" s="6" t="s">
        <v>152</v>
      </c>
      <c r="H4" s="9" t="s">
        <v>165</v>
      </c>
      <c r="I4" s="6" t="s">
        <v>152</v>
      </c>
      <c r="J4" s="6" t="s">
        <v>152</v>
      </c>
      <c r="K4" s="6" t="s">
        <v>152</v>
      </c>
      <c r="L4" s="6" t="s">
        <v>152</v>
      </c>
      <c r="M4" s="6" t="s">
        <v>152</v>
      </c>
      <c r="N4" s="6" t="s">
        <v>152</v>
      </c>
      <c r="O4" s="6" t="s">
        <v>152</v>
      </c>
      <c r="P4" s="6" t="s">
        <v>152</v>
      </c>
      <c r="Q4" s="6" t="s">
        <v>152</v>
      </c>
      <c r="R4" s="9" t="s">
        <v>165</v>
      </c>
      <c r="S4" s="6" t="s">
        <v>152</v>
      </c>
      <c r="T4" s="9" t="s">
        <v>165</v>
      </c>
      <c r="U4" s="6" t="s">
        <v>152</v>
      </c>
      <c r="V4" s="6" t="s">
        <v>152</v>
      </c>
      <c r="W4" s="6" t="s">
        <v>152</v>
      </c>
      <c r="X4" s="6" t="s">
        <v>152</v>
      </c>
      <c r="Y4" s="6" t="s">
        <v>152</v>
      </c>
      <c r="Z4" s="6" t="s">
        <v>152</v>
      </c>
      <c r="AA4" s="6" t="s">
        <v>152</v>
      </c>
      <c r="AB4" s="9" t="s">
        <v>165</v>
      </c>
      <c r="AC4" s="6" t="s">
        <v>152</v>
      </c>
      <c r="AD4" s="6" t="s">
        <v>152</v>
      </c>
      <c r="AE4" s="6" t="s">
        <v>152</v>
      </c>
      <c r="AF4" s="6" t="s">
        <v>152</v>
      </c>
      <c r="AG4" s="6" t="s">
        <v>152</v>
      </c>
      <c r="AH4" s="6" t="s">
        <v>152</v>
      </c>
      <c r="AI4" s="6" t="s">
        <v>152</v>
      </c>
      <c r="AJ4" s="6" t="s">
        <v>152</v>
      </c>
      <c r="AK4" s="9" t="s">
        <v>165</v>
      </c>
      <c r="AL4" s="6" t="s">
        <v>152</v>
      </c>
      <c r="AM4" s="6" t="s">
        <v>152</v>
      </c>
      <c r="AN4" s="6" t="s">
        <v>152</v>
      </c>
      <c r="AO4" s="6" t="s">
        <v>152</v>
      </c>
      <c r="AP4" s="6" t="s">
        <v>152</v>
      </c>
      <c r="AQ4" s="6" t="s">
        <v>152</v>
      </c>
      <c r="AR4" s="6" t="s">
        <v>152</v>
      </c>
    </row>
    <row r="5" spans="1:44" x14ac:dyDescent="0.2">
      <c r="A5" s="1" t="str">
        <f ca="1">IFERROR(__xludf.DUMMYFUNCTION("""COMPUTED_VALUE"""),"Air-Walker")</f>
        <v>Air-Walker</v>
      </c>
      <c r="B5" s="6" t="s">
        <v>152</v>
      </c>
      <c r="C5" s="6" t="s">
        <v>152</v>
      </c>
      <c r="D5" s="6" t="s">
        <v>152</v>
      </c>
      <c r="E5" s="6" t="s">
        <v>152</v>
      </c>
      <c r="F5" s="6" t="s">
        <v>152</v>
      </c>
      <c r="G5" s="6" t="s">
        <v>152</v>
      </c>
      <c r="H5" s="6" t="s">
        <v>152</v>
      </c>
      <c r="I5" s="6" t="s">
        <v>152</v>
      </c>
      <c r="J5" s="6" t="s">
        <v>152</v>
      </c>
      <c r="K5" s="6" t="s">
        <v>152</v>
      </c>
      <c r="L5" s="6" t="s">
        <v>152</v>
      </c>
      <c r="M5" s="6" t="s">
        <v>152</v>
      </c>
      <c r="N5" s="6" t="s">
        <v>152</v>
      </c>
      <c r="O5" s="6" t="s">
        <v>152</v>
      </c>
      <c r="P5" s="6" t="s">
        <v>152</v>
      </c>
      <c r="Q5" s="6" t="s">
        <v>152</v>
      </c>
      <c r="R5" s="6" t="s">
        <v>152</v>
      </c>
      <c r="S5" s="6" t="s">
        <v>152</v>
      </c>
      <c r="T5" s="6" t="s">
        <v>152</v>
      </c>
      <c r="U5" s="6" t="s">
        <v>152</v>
      </c>
      <c r="V5" s="6" t="s">
        <v>152</v>
      </c>
      <c r="W5" s="6" t="s">
        <v>152</v>
      </c>
      <c r="X5" s="6" t="s">
        <v>152</v>
      </c>
      <c r="Y5" s="6" t="s">
        <v>152</v>
      </c>
      <c r="Z5" s="6" t="s">
        <v>152</v>
      </c>
      <c r="AA5" s="6" t="s">
        <v>152</v>
      </c>
      <c r="AB5" s="6" t="s">
        <v>152</v>
      </c>
      <c r="AC5" s="6" t="s">
        <v>152</v>
      </c>
      <c r="AD5" s="6" t="s">
        <v>152</v>
      </c>
      <c r="AE5" s="6" t="s">
        <v>152</v>
      </c>
      <c r="AF5" s="6" t="s">
        <v>152</v>
      </c>
      <c r="AG5" s="6" t="s">
        <v>152</v>
      </c>
      <c r="AH5" s="6" t="s">
        <v>152</v>
      </c>
      <c r="AI5" s="6" t="s">
        <v>152</v>
      </c>
      <c r="AJ5" s="6" t="s">
        <v>152</v>
      </c>
      <c r="AK5" s="6" t="s">
        <v>152</v>
      </c>
      <c r="AL5" s="6" t="s">
        <v>152</v>
      </c>
      <c r="AM5" s="6" t="s">
        <v>152</v>
      </c>
      <c r="AN5" s="6" t="s">
        <v>152</v>
      </c>
      <c r="AO5" s="6" t="s">
        <v>152</v>
      </c>
      <c r="AP5" s="9" t="s">
        <v>165</v>
      </c>
      <c r="AQ5" s="6" t="s">
        <v>152</v>
      </c>
      <c r="AR5" s="6" t="s">
        <v>152</v>
      </c>
    </row>
    <row r="6" spans="1:44" x14ac:dyDescent="0.2">
      <c r="A6" s="1" t="str">
        <f ca="1">IFERROR(__xludf.DUMMYFUNCTION("""COMPUTED_VALUE"""),"Ant-Man")</f>
        <v>Ant-Man</v>
      </c>
      <c r="B6" s="6" t="s">
        <v>152</v>
      </c>
      <c r="C6" s="6" t="s">
        <v>152</v>
      </c>
      <c r="D6" s="6" t="s">
        <v>152</v>
      </c>
      <c r="E6" s="6" t="s">
        <v>152</v>
      </c>
      <c r="F6" s="6" t="s">
        <v>152</v>
      </c>
      <c r="G6" s="9" t="s">
        <v>165</v>
      </c>
      <c r="H6" s="6" t="s">
        <v>152</v>
      </c>
      <c r="I6" s="6" t="s">
        <v>152</v>
      </c>
      <c r="J6" s="6" t="s">
        <v>152</v>
      </c>
      <c r="K6" s="6" t="s">
        <v>152</v>
      </c>
      <c r="L6" s="6" t="s">
        <v>152</v>
      </c>
      <c r="M6" s="6" t="s">
        <v>152</v>
      </c>
      <c r="N6" s="6" t="s">
        <v>152</v>
      </c>
      <c r="O6" s="6" t="s">
        <v>152</v>
      </c>
      <c r="P6" s="6" t="s">
        <v>152</v>
      </c>
      <c r="Q6" s="6" t="s">
        <v>152</v>
      </c>
      <c r="R6" s="6" t="s">
        <v>152</v>
      </c>
      <c r="S6" s="6" t="s">
        <v>152</v>
      </c>
      <c r="T6" s="6" t="s">
        <v>152</v>
      </c>
      <c r="U6" s="6" t="s">
        <v>152</v>
      </c>
      <c r="V6" s="6" t="s">
        <v>152</v>
      </c>
      <c r="W6" s="6" t="s">
        <v>152</v>
      </c>
      <c r="X6" s="6" t="s">
        <v>152</v>
      </c>
      <c r="Y6" s="6" t="s">
        <v>152</v>
      </c>
      <c r="Z6" s="6" t="s">
        <v>152</v>
      </c>
      <c r="AA6" s="6" t="s">
        <v>152</v>
      </c>
      <c r="AB6" s="9" t="s">
        <v>165</v>
      </c>
      <c r="AC6" s="6" t="s">
        <v>152</v>
      </c>
      <c r="AD6" s="6" t="s">
        <v>152</v>
      </c>
      <c r="AE6" s="6" t="s">
        <v>152</v>
      </c>
      <c r="AF6" s="6" t="s">
        <v>152</v>
      </c>
      <c r="AG6" s="6" t="s">
        <v>152</v>
      </c>
      <c r="AH6" s="6" t="s">
        <v>152</v>
      </c>
      <c r="AI6" s="6" t="s">
        <v>152</v>
      </c>
      <c r="AJ6" s="6" t="s">
        <v>152</v>
      </c>
      <c r="AK6" s="9" t="s">
        <v>165</v>
      </c>
      <c r="AL6" s="6" t="s">
        <v>152</v>
      </c>
      <c r="AM6" s="6" t="s">
        <v>152</v>
      </c>
      <c r="AN6" s="6" t="s">
        <v>152</v>
      </c>
      <c r="AO6" s="6" t="s">
        <v>152</v>
      </c>
      <c r="AP6" s="6" t="s">
        <v>152</v>
      </c>
      <c r="AQ6" s="6" t="s">
        <v>152</v>
      </c>
      <c r="AR6" s="6" t="s">
        <v>152</v>
      </c>
    </row>
    <row r="7" spans="1:44" x14ac:dyDescent="0.2">
      <c r="A7" s="1" t="str">
        <f ca="1">IFERROR(__xludf.DUMMYFUNCTION("""COMPUTED_VALUE"""),"Anti-Venom")</f>
        <v>Anti-Venom</v>
      </c>
      <c r="B7" s="6" t="s">
        <v>152</v>
      </c>
      <c r="C7" s="6" t="s">
        <v>152</v>
      </c>
      <c r="D7" s="6" t="s">
        <v>152</v>
      </c>
      <c r="E7" s="6" t="s">
        <v>152</v>
      </c>
      <c r="F7" s="6" t="s">
        <v>152</v>
      </c>
      <c r="G7" s="6" t="s">
        <v>152</v>
      </c>
      <c r="H7" s="6" t="s">
        <v>152</v>
      </c>
      <c r="I7" s="6" t="s">
        <v>152</v>
      </c>
      <c r="J7" s="6" t="s">
        <v>152</v>
      </c>
      <c r="K7" s="6" t="s">
        <v>152</v>
      </c>
      <c r="L7" s="6" t="s">
        <v>152</v>
      </c>
      <c r="M7" s="6" t="s">
        <v>152</v>
      </c>
      <c r="N7" s="6" t="s">
        <v>152</v>
      </c>
      <c r="O7" s="6" t="s">
        <v>152</v>
      </c>
      <c r="P7" s="6" t="s">
        <v>152</v>
      </c>
      <c r="Q7" s="6" t="s">
        <v>152</v>
      </c>
      <c r="R7" s="6" t="s">
        <v>152</v>
      </c>
      <c r="S7" s="6" t="s">
        <v>152</v>
      </c>
      <c r="T7" s="9" t="s">
        <v>165</v>
      </c>
      <c r="U7" s="6" t="s">
        <v>152</v>
      </c>
      <c r="V7" s="6" t="s">
        <v>152</v>
      </c>
      <c r="W7" s="6" t="s">
        <v>152</v>
      </c>
      <c r="X7" s="6" t="s">
        <v>152</v>
      </c>
      <c r="Y7" s="6" t="s">
        <v>152</v>
      </c>
      <c r="Z7" s="6" t="s">
        <v>152</v>
      </c>
      <c r="AA7" s="6" t="s">
        <v>152</v>
      </c>
      <c r="AB7" s="9" t="s">
        <v>165</v>
      </c>
      <c r="AC7" s="6" t="s">
        <v>152</v>
      </c>
      <c r="AD7" s="6" t="s">
        <v>152</v>
      </c>
      <c r="AE7" s="6" t="s">
        <v>152</v>
      </c>
      <c r="AF7" s="6" t="s">
        <v>152</v>
      </c>
      <c r="AG7" s="6" t="s">
        <v>152</v>
      </c>
      <c r="AH7" s="6" t="s">
        <v>152</v>
      </c>
      <c r="AI7" s="6" t="s">
        <v>152</v>
      </c>
      <c r="AJ7" s="6" t="s">
        <v>152</v>
      </c>
      <c r="AK7" s="6" t="s">
        <v>152</v>
      </c>
      <c r="AL7" s="6" t="s">
        <v>152</v>
      </c>
      <c r="AM7" s="6" t="s">
        <v>152</v>
      </c>
      <c r="AN7" s="6" t="s">
        <v>152</v>
      </c>
      <c r="AO7" s="6" t="s">
        <v>152</v>
      </c>
      <c r="AP7" s="6" t="s">
        <v>152</v>
      </c>
      <c r="AQ7" s="6" t="s">
        <v>152</v>
      </c>
      <c r="AR7" s="6" t="s">
        <v>152</v>
      </c>
    </row>
    <row r="8" spans="1:44" x14ac:dyDescent="0.2">
      <c r="A8" s="1" t="str">
        <f ca="1">IFERROR(__xludf.DUMMYFUNCTION("""COMPUTED_VALUE"""),"Apocalypse")</f>
        <v>Apocalypse</v>
      </c>
      <c r="B8" s="6" t="s">
        <v>152</v>
      </c>
      <c r="C8" s="6" t="s">
        <v>152</v>
      </c>
      <c r="D8" s="6" t="s">
        <v>152</v>
      </c>
      <c r="E8" s="6" t="s">
        <v>152</v>
      </c>
      <c r="F8" s="9" t="s">
        <v>165</v>
      </c>
      <c r="G8" s="6" t="s">
        <v>152</v>
      </c>
      <c r="H8" s="6" t="s">
        <v>152</v>
      </c>
      <c r="I8" s="6" t="s">
        <v>152</v>
      </c>
      <c r="J8" s="6" t="s">
        <v>152</v>
      </c>
      <c r="K8" s="6" t="s">
        <v>152</v>
      </c>
      <c r="L8" s="6" t="s">
        <v>152</v>
      </c>
      <c r="M8" s="6" t="s">
        <v>152</v>
      </c>
      <c r="N8" s="9" t="s">
        <v>165</v>
      </c>
      <c r="O8" s="6" t="s">
        <v>152</v>
      </c>
      <c r="P8" s="6" t="s">
        <v>152</v>
      </c>
      <c r="Q8" s="6" t="s">
        <v>152</v>
      </c>
      <c r="R8" s="6" t="s">
        <v>152</v>
      </c>
      <c r="S8" s="6" t="s">
        <v>152</v>
      </c>
      <c r="T8" s="9" t="s">
        <v>165</v>
      </c>
      <c r="U8" s="6" t="s">
        <v>152</v>
      </c>
      <c r="V8" s="6" t="s">
        <v>152</v>
      </c>
      <c r="W8" s="6" t="s">
        <v>152</v>
      </c>
      <c r="X8" s="6" t="s">
        <v>152</v>
      </c>
      <c r="Y8" s="6" t="s">
        <v>152</v>
      </c>
      <c r="Z8" s="6" t="s">
        <v>152</v>
      </c>
      <c r="AA8" s="6" t="s">
        <v>152</v>
      </c>
      <c r="AB8" s="6" t="s">
        <v>152</v>
      </c>
      <c r="AC8" s="6" t="s">
        <v>152</v>
      </c>
      <c r="AD8" s="6" t="s">
        <v>152</v>
      </c>
      <c r="AE8" s="6" t="s">
        <v>152</v>
      </c>
      <c r="AF8" s="6" t="s">
        <v>152</v>
      </c>
      <c r="AG8" s="6" t="s">
        <v>152</v>
      </c>
      <c r="AH8" s="6" t="s">
        <v>152</v>
      </c>
      <c r="AI8" s="6" t="s">
        <v>152</v>
      </c>
      <c r="AJ8" s="6" t="s">
        <v>152</v>
      </c>
      <c r="AK8" s="6" t="s">
        <v>152</v>
      </c>
      <c r="AL8" s="6" t="s">
        <v>152</v>
      </c>
      <c r="AM8" s="6" t="s">
        <v>152</v>
      </c>
      <c r="AN8" s="6" t="s">
        <v>152</v>
      </c>
      <c r="AO8" s="6" t="s">
        <v>152</v>
      </c>
      <c r="AP8" s="6" t="s">
        <v>152</v>
      </c>
      <c r="AQ8" s="6" t="s">
        <v>152</v>
      </c>
      <c r="AR8" s="6" t="s">
        <v>152</v>
      </c>
    </row>
    <row r="9" spans="1:44" x14ac:dyDescent="0.2">
      <c r="A9" s="1" t="str">
        <f ca="1">IFERROR(__xludf.DUMMYFUNCTION("""COMPUTED_VALUE"""),"Arcade")</f>
        <v>Arcade</v>
      </c>
      <c r="B9" s="6" t="s">
        <v>152</v>
      </c>
      <c r="C9" s="6" t="s">
        <v>152</v>
      </c>
      <c r="D9" s="6" t="s">
        <v>152</v>
      </c>
      <c r="E9" s="6" t="s">
        <v>152</v>
      </c>
      <c r="F9" s="9" t="s">
        <v>165</v>
      </c>
      <c r="G9" s="6" t="s">
        <v>152</v>
      </c>
      <c r="H9" s="6" t="s">
        <v>152</v>
      </c>
      <c r="I9" s="6" t="s">
        <v>152</v>
      </c>
      <c r="J9" s="6" t="s">
        <v>152</v>
      </c>
      <c r="K9" s="6" t="s">
        <v>152</v>
      </c>
      <c r="L9" s="6" t="s">
        <v>152</v>
      </c>
      <c r="M9" s="6" t="s">
        <v>152</v>
      </c>
      <c r="N9" s="6" t="s">
        <v>152</v>
      </c>
      <c r="O9" s="6" t="s">
        <v>152</v>
      </c>
      <c r="P9" s="6" t="s">
        <v>152</v>
      </c>
      <c r="Q9" s="6" t="s">
        <v>152</v>
      </c>
      <c r="R9" s="6" t="s">
        <v>152</v>
      </c>
      <c r="S9" s="6" t="s">
        <v>152</v>
      </c>
      <c r="T9" s="9" t="s">
        <v>165</v>
      </c>
      <c r="U9" s="6" t="s">
        <v>152</v>
      </c>
      <c r="V9" s="6" t="s">
        <v>152</v>
      </c>
      <c r="W9" s="6" t="s">
        <v>152</v>
      </c>
      <c r="X9" s="6" t="s">
        <v>152</v>
      </c>
      <c r="Y9" s="6" t="s">
        <v>152</v>
      </c>
      <c r="Z9" s="6" t="s">
        <v>152</v>
      </c>
      <c r="AA9" s="6" t="s">
        <v>152</v>
      </c>
      <c r="AB9" s="9" t="s">
        <v>165</v>
      </c>
      <c r="AC9" s="6" t="s">
        <v>152</v>
      </c>
      <c r="AD9" s="6" t="s">
        <v>152</v>
      </c>
      <c r="AE9" s="6" t="s">
        <v>152</v>
      </c>
      <c r="AF9" s="6" t="s">
        <v>152</v>
      </c>
      <c r="AG9" s="6" t="s">
        <v>152</v>
      </c>
      <c r="AH9" s="6" t="s">
        <v>152</v>
      </c>
      <c r="AI9" s="6" t="s">
        <v>152</v>
      </c>
      <c r="AJ9" s="6" t="s">
        <v>152</v>
      </c>
      <c r="AK9" s="9" t="s">
        <v>165</v>
      </c>
      <c r="AL9" s="6" t="s">
        <v>152</v>
      </c>
      <c r="AM9" s="6" t="s">
        <v>152</v>
      </c>
      <c r="AN9" s="6" t="s">
        <v>152</v>
      </c>
      <c r="AO9" s="6" t="s">
        <v>152</v>
      </c>
      <c r="AP9" s="6" t="s">
        <v>152</v>
      </c>
      <c r="AQ9" s="6" t="s">
        <v>152</v>
      </c>
      <c r="AR9" s="6" t="s">
        <v>152</v>
      </c>
    </row>
    <row r="10" spans="1:44" x14ac:dyDescent="0.2">
      <c r="A10" s="1" t="str">
        <f ca="1">IFERROR(__xludf.DUMMYFUNCTION("""COMPUTED_VALUE"""),"Archangel")</f>
        <v>Archangel</v>
      </c>
      <c r="B10" s="9" t="s">
        <v>165</v>
      </c>
      <c r="C10" s="6" t="s">
        <v>152</v>
      </c>
      <c r="D10" s="6" t="s">
        <v>152</v>
      </c>
      <c r="E10" s="6" t="s">
        <v>152</v>
      </c>
      <c r="F10" s="6" t="s">
        <v>152</v>
      </c>
      <c r="G10" s="6" t="s">
        <v>152</v>
      </c>
      <c r="H10" s="6" t="s">
        <v>152</v>
      </c>
      <c r="I10" s="6" t="s">
        <v>152</v>
      </c>
      <c r="J10" s="6" t="s">
        <v>152</v>
      </c>
      <c r="K10" s="6" t="s">
        <v>152</v>
      </c>
      <c r="L10" s="6" t="s">
        <v>152</v>
      </c>
      <c r="M10" s="6" t="s">
        <v>152</v>
      </c>
      <c r="N10" s="6" t="s">
        <v>152</v>
      </c>
      <c r="O10" s="6" t="s">
        <v>152</v>
      </c>
      <c r="P10" s="6" t="s">
        <v>152</v>
      </c>
      <c r="Q10" s="6" t="s">
        <v>152</v>
      </c>
      <c r="R10" s="6" t="s">
        <v>152</v>
      </c>
      <c r="S10" s="6" t="s">
        <v>152</v>
      </c>
      <c r="T10" s="6" t="s">
        <v>152</v>
      </c>
      <c r="U10" s="6" t="s">
        <v>152</v>
      </c>
      <c r="V10" s="6" t="s">
        <v>152</v>
      </c>
      <c r="W10" s="6" t="s">
        <v>152</v>
      </c>
      <c r="X10" s="6" t="s">
        <v>152</v>
      </c>
      <c r="Y10" s="6" t="s">
        <v>152</v>
      </c>
      <c r="Z10" s="6" t="s">
        <v>152</v>
      </c>
      <c r="AA10" s="6" t="s">
        <v>152</v>
      </c>
      <c r="AB10" s="6" t="s">
        <v>152</v>
      </c>
      <c r="AC10" s="6" t="s">
        <v>152</v>
      </c>
      <c r="AD10" s="6" t="s">
        <v>152</v>
      </c>
      <c r="AE10" s="6" t="s">
        <v>152</v>
      </c>
      <c r="AF10" s="6" t="s">
        <v>152</v>
      </c>
      <c r="AG10" s="6" t="s">
        <v>152</v>
      </c>
      <c r="AH10" s="6" t="s">
        <v>152</v>
      </c>
      <c r="AI10" s="6" t="s">
        <v>152</v>
      </c>
      <c r="AJ10" s="6" t="s">
        <v>152</v>
      </c>
      <c r="AK10" s="6" t="s">
        <v>152</v>
      </c>
      <c r="AL10" s="6" t="s">
        <v>152</v>
      </c>
      <c r="AM10" s="6" t="s">
        <v>152</v>
      </c>
      <c r="AN10" s="6" t="s">
        <v>152</v>
      </c>
      <c r="AO10" s="6" t="s">
        <v>152</v>
      </c>
      <c r="AP10" s="6" t="s">
        <v>152</v>
      </c>
      <c r="AQ10" s="6" t="s">
        <v>152</v>
      </c>
      <c r="AR10" s="6" t="s">
        <v>152</v>
      </c>
    </row>
    <row r="11" spans="1:44" x14ac:dyDescent="0.2">
      <c r="A11" s="1" t="str">
        <f ca="1">IFERROR(__xludf.DUMMYFUNCTION("""COMPUTED_VALUE"""),"Arnim Zola")</f>
        <v>Arnim Zola</v>
      </c>
      <c r="B11" s="6" t="s">
        <v>152</v>
      </c>
      <c r="C11" s="6" t="s">
        <v>152</v>
      </c>
      <c r="D11" s="6" t="s">
        <v>152</v>
      </c>
      <c r="E11" s="6" t="s">
        <v>152</v>
      </c>
      <c r="F11" s="9" t="s">
        <v>165</v>
      </c>
      <c r="G11" s="6" t="s">
        <v>152</v>
      </c>
      <c r="H11" s="6" t="s">
        <v>152</v>
      </c>
      <c r="I11" s="6" t="s">
        <v>152</v>
      </c>
      <c r="J11" s="6" t="s">
        <v>152</v>
      </c>
      <c r="K11" s="6" t="s">
        <v>152</v>
      </c>
      <c r="L11" s="6" t="s">
        <v>152</v>
      </c>
      <c r="M11" s="6" t="s">
        <v>152</v>
      </c>
      <c r="N11" s="6" t="s">
        <v>152</v>
      </c>
      <c r="O11" s="6" t="s">
        <v>152</v>
      </c>
      <c r="P11" s="6" t="s">
        <v>152</v>
      </c>
      <c r="Q11" s="6" t="s">
        <v>152</v>
      </c>
      <c r="R11" s="6" t="s">
        <v>152</v>
      </c>
      <c r="S11" s="6" t="s">
        <v>152</v>
      </c>
      <c r="T11" s="6" t="s">
        <v>152</v>
      </c>
      <c r="U11" s="6" t="s">
        <v>152</v>
      </c>
      <c r="V11" s="6" t="s">
        <v>152</v>
      </c>
      <c r="W11" s="6" t="s">
        <v>152</v>
      </c>
      <c r="X11" s="6" t="s">
        <v>152</v>
      </c>
      <c r="Y11" s="6" t="s">
        <v>152</v>
      </c>
      <c r="Z11" s="6" t="s">
        <v>152</v>
      </c>
      <c r="AA11" s="6" t="s">
        <v>152</v>
      </c>
      <c r="AB11" s="9" t="s">
        <v>165</v>
      </c>
      <c r="AC11" s="6" t="s">
        <v>152</v>
      </c>
      <c r="AD11" s="6" t="s">
        <v>152</v>
      </c>
      <c r="AE11" s="6" t="s">
        <v>152</v>
      </c>
      <c r="AF11" s="6" t="s">
        <v>152</v>
      </c>
      <c r="AG11" s="6" t="s">
        <v>152</v>
      </c>
      <c r="AH11" s="6" t="s">
        <v>152</v>
      </c>
      <c r="AI11" s="6" t="s">
        <v>152</v>
      </c>
      <c r="AJ11" s="6" t="s">
        <v>152</v>
      </c>
      <c r="AK11" s="6" t="s">
        <v>152</v>
      </c>
      <c r="AL11" s="6" t="s">
        <v>152</v>
      </c>
      <c r="AM11" s="6" t="s">
        <v>152</v>
      </c>
      <c r="AN11" s="6" t="s">
        <v>152</v>
      </c>
      <c r="AO11" s="6" t="s">
        <v>152</v>
      </c>
      <c r="AP11" s="6" t="s">
        <v>152</v>
      </c>
      <c r="AQ11" s="6" t="s">
        <v>152</v>
      </c>
      <c r="AR11" s="6" t="s">
        <v>152</v>
      </c>
    </row>
    <row r="12" spans="1:44" x14ac:dyDescent="0.2">
      <c r="A12" s="1" t="str">
        <f ca="1">IFERROR(__xludf.DUMMYFUNCTION("""COMPUTED_VALUE"""),"Attuma")</f>
        <v>Attuma</v>
      </c>
      <c r="B12" s="6" t="s">
        <v>152</v>
      </c>
      <c r="C12" s="6" t="s">
        <v>152</v>
      </c>
      <c r="D12" s="6" t="s">
        <v>152</v>
      </c>
      <c r="E12" s="6" t="s">
        <v>152</v>
      </c>
      <c r="F12" s="6" t="s">
        <v>152</v>
      </c>
      <c r="G12" s="6" t="s">
        <v>152</v>
      </c>
      <c r="H12" s="6" t="s">
        <v>152</v>
      </c>
      <c r="I12" s="6" t="s">
        <v>152</v>
      </c>
      <c r="J12" s="6" t="s">
        <v>152</v>
      </c>
      <c r="K12" s="6" t="s">
        <v>152</v>
      </c>
      <c r="L12" s="6" t="s">
        <v>152</v>
      </c>
      <c r="M12" s="6" t="s">
        <v>152</v>
      </c>
      <c r="N12" s="6" t="s">
        <v>152</v>
      </c>
      <c r="O12" s="6" t="s">
        <v>152</v>
      </c>
      <c r="P12" s="6" t="s">
        <v>152</v>
      </c>
      <c r="Q12" s="6" t="s">
        <v>152</v>
      </c>
      <c r="R12" s="6" t="s">
        <v>152</v>
      </c>
      <c r="S12" s="6" t="s">
        <v>152</v>
      </c>
      <c r="T12" s="9" t="s">
        <v>165</v>
      </c>
      <c r="U12" s="6" t="s">
        <v>152</v>
      </c>
      <c r="V12" s="6" t="s">
        <v>152</v>
      </c>
      <c r="W12" s="6" t="s">
        <v>152</v>
      </c>
      <c r="X12" s="6" t="s">
        <v>152</v>
      </c>
      <c r="Y12" s="6" t="s">
        <v>152</v>
      </c>
      <c r="Z12" s="6" t="s">
        <v>152</v>
      </c>
      <c r="AA12" s="6" t="s">
        <v>152</v>
      </c>
      <c r="AB12" s="6" t="s">
        <v>152</v>
      </c>
      <c r="AC12" s="6" t="s">
        <v>152</v>
      </c>
      <c r="AD12" s="6" t="s">
        <v>152</v>
      </c>
      <c r="AE12" s="6" t="s">
        <v>152</v>
      </c>
      <c r="AF12" s="6" t="s">
        <v>152</v>
      </c>
      <c r="AG12" s="6" t="s">
        <v>152</v>
      </c>
      <c r="AH12" s="6" t="s">
        <v>152</v>
      </c>
      <c r="AI12" s="6" t="s">
        <v>152</v>
      </c>
      <c r="AJ12" s="6" t="s">
        <v>152</v>
      </c>
      <c r="AK12" s="6" t="s">
        <v>152</v>
      </c>
      <c r="AL12" s="6" t="s">
        <v>152</v>
      </c>
      <c r="AM12" s="6" t="s">
        <v>152</v>
      </c>
      <c r="AN12" s="6" t="s">
        <v>152</v>
      </c>
      <c r="AO12" s="6" t="s">
        <v>152</v>
      </c>
      <c r="AP12" s="6" t="s">
        <v>152</v>
      </c>
      <c r="AQ12" s="6" t="s">
        <v>152</v>
      </c>
      <c r="AR12" s="6" t="s">
        <v>152</v>
      </c>
    </row>
    <row r="13" spans="1:44" x14ac:dyDescent="0.2">
      <c r="A13" s="1" t="str">
        <f ca="1">IFERROR(__xludf.DUMMYFUNCTION("""COMPUTED_VALUE"""),"Beta Ray Bill")</f>
        <v>Beta Ray Bill</v>
      </c>
      <c r="B13" s="6" t="s">
        <v>152</v>
      </c>
      <c r="C13" s="6" t="s">
        <v>152</v>
      </c>
      <c r="D13" s="6" t="s">
        <v>152</v>
      </c>
      <c r="E13" s="6" t="s">
        <v>152</v>
      </c>
      <c r="F13" s="6" t="s">
        <v>152</v>
      </c>
      <c r="G13" s="6" t="s">
        <v>152</v>
      </c>
      <c r="H13" s="6" t="s">
        <v>152</v>
      </c>
      <c r="I13" s="6" t="s">
        <v>152</v>
      </c>
      <c r="J13" s="6" t="s">
        <v>152</v>
      </c>
      <c r="K13" s="6" t="s">
        <v>152</v>
      </c>
      <c r="L13" s="6" t="s">
        <v>152</v>
      </c>
      <c r="M13" s="6" t="s">
        <v>152</v>
      </c>
      <c r="N13" s="6" t="s">
        <v>152</v>
      </c>
      <c r="O13" s="6" t="s">
        <v>152</v>
      </c>
      <c r="P13" s="6" t="s">
        <v>152</v>
      </c>
      <c r="Q13" s="6" t="s">
        <v>152</v>
      </c>
      <c r="R13" s="6" t="s">
        <v>152</v>
      </c>
      <c r="S13" s="6" t="s">
        <v>152</v>
      </c>
      <c r="T13" s="6" t="s">
        <v>152</v>
      </c>
      <c r="U13" s="6" t="s">
        <v>152</v>
      </c>
      <c r="V13" s="6" t="s">
        <v>152</v>
      </c>
      <c r="W13" s="6" t="s">
        <v>152</v>
      </c>
      <c r="X13" s="6" t="s">
        <v>152</v>
      </c>
      <c r="Y13" s="6" t="s">
        <v>152</v>
      </c>
      <c r="Z13" s="6" t="s">
        <v>152</v>
      </c>
      <c r="AA13" s="6" t="s">
        <v>152</v>
      </c>
      <c r="AB13" s="6" t="s">
        <v>152</v>
      </c>
      <c r="AC13" s="6" t="s">
        <v>152</v>
      </c>
      <c r="AD13" s="9" t="s">
        <v>165</v>
      </c>
      <c r="AE13" s="6" t="s">
        <v>152</v>
      </c>
      <c r="AF13" s="6" t="s">
        <v>152</v>
      </c>
      <c r="AG13" s="6" t="s">
        <v>152</v>
      </c>
      <c r="AH13" s="6" t="s">
        <v>152</v>
      </c>
      <c r="AI13" s="6" t="s">
        <v>152</v>
      </c>
      <c r="AJ13" s="6" t="s">
        <v>152</v>
      </c>
      <c r="AK13" s="9" t="s">
        <v>165</v>
      </c>
      <c r="AL13" s="6" t="s">
        <v>152</v>
      </c>
      <c r="AM13" s="6" t="s">
        <v>152</v>
      </c>
      <c r="AN13" s="6" t="s">
        <v>152</v>
      </c>
      <c r="AO13" s="6" t="s">
        <v>152</v>
      </c>
      <c r="AP13" s="6" t="s">
        <v>152</v>
      </c>
      <c r="AQ13" s="6" t="s">
        <v>152</v>
      </c>
      <c r="AR13" s="6" t="s">
        <v>152</v>
      </c>
    </row>
    <row r="14" spans="1:44" x14ac:dyDescent="0.2">
      <c r="A14" s="1" t="str">
        <f ca="1">IFERROR(__xludf.DUMMYFUNCTION("""COMPUTED_VALUE"""),"Black Bolt")</f>
        <v>Black Bolt</v>
      </c>
      <c r="B14" s="6" t="s">
        <v>152</v>
      </c>
      <c r="C14" s="6" t="s">
        <v>152</v>
      </c>
      <c r="D14" s="6" t="s">
        <v>152</v>
      </c>
      <c r="E14" s="6" t="s">
        <v>152</v>
      </c>
      <c r="F14" s="6" t="s">
        <v>152</v>
      </c>
      <c r="G14" s="6" t="s">
        <v>152</v>
      </c>
      <c r="H14" s="6" t="s">
        <v>152</v>
      </c>
      <c r="I14" s="6" t="s">
        <v>152</v>
      </c>
      <c r="J14" s="6" t="s">
        <v>152</v>
      </c>
      <c r="K14" s="6" t="s">
        <v>152</v>
      </c>
      <c r="L14" s="6" t="s">
        <v>152</v>
      </c>
      <c r="M14" s="6" t="s">
        <v>152</v>
      </c>
      <c r="N14" s="6" t="s">
        <v>152</v>
      </c>
      <c r="O14" s="6" t="s">
        <v>152</v>
      </c>
      <c r="P14" s="6" t="s">
        <v>152</v>
      </c>
      <c r="Q14" s="6" t="s">
        <v>152</v>
      </c>
      <c r="R14" s="6" t="s">
        <v>152</v>
      </c>
      <c r="S14" s="6" t="s">
        <v>152</v>
      </c>
      <c r="T14" s="6" t="s">
        <v>152</v>
      </c>
      <c r="U14" s="6" t="s">
        <v>152</v>
      </c>
      <c r="V14" s="6" t="s">
        <v>152</v>
      </c>
      <c r="W14" s="6" t="s">
        <v>152</v>
      </c>
      <c r="X14" s="6" t="s">
        <v>152</v>
      </c>
      <c r="Y14" s="6" t="s">
        <v>152</v>
      </c>
      <c r="Z14" s="6" t="s">
        <v>152</v>
      </c>
      <c r="AA14" s="6" t="s">
        <v>152</v>
      </c>
      <c r="AB14" s="9" t="s">
        <v>165</v>
      </c>
      <c r="AC14" s="6" t="s">
        <v>152</v>
      </c>
      <c r="AD14" s="6" t="s">
        <v>152</v>
      </c>
      <c r="AE14" s="6" t="s">
        <v>152</v>
      </c>
      <c r="AF14" s="6" t="s">
        <v>152</v>
      </c>
      <c r="AG14" s="6" t="s">
        <v>152</v>
      </c>
      <c r="AH14" s="6" t="s">
        <v>152</v>
      </c>
      <c r="AI14" s="6" t="s">
        <v>152</v>
      </c>
      <c r="AJ14" s="6" t="s">
        <v>152</v>
      </c>
      <c r="AK14" s="6" t="s">
        <v>152</v>
      </c>
      <c r="AL14" s="6" t="s">
        <v>152</v>
      </c>
      <c r="AM14" s="6" t="s">
        <v>152</v>
      </c>
      <c r="AN14" s="6" t="s">
        <v>152</v>
      </c>
      <c r="AO14" s="6" t="s">
        <v>152</v>
      </c>
      <c r="AP14" s="6" t="s">
        <v>152</v>
      </c>
      <c r="AQ14" s="6" t="s">
        <v>152</v>
      </c>
      <c r="AR14" s="6" t="s">
        <v>152</v>
      </c>
    </row>
    <row r="15" spans="1:44" x14ac:dyDescent="0.2">
      <c r="A15" s="1" t="str">
        <f ca="1">IFERROR(__xludf.DUMMYFUNCTION("""COMPUTED_VALUE"""),"Black Tarantula")</f>
        <v>Black Tarantula</v>
      </c>
      <c r="B15" s="6" t="s">
        <v>152</v>
      </c>
      <c r="C15" s="6" t="s">
        <v>152</v>
      </c>
      <c r="D15" s="6" t="s">
        <v>152</v>
      </c>
      <c r="E15" s="6" t="s">
        <v>152</v>
      </c>
      <c r="F15" s="6" t="s">
        <v>152</v>
      </c>
      <c r="G15" s="6" t="s">
        <v>152</v>
      </c>
      <c r="H15" s="6" t="s">
        <v>152</v>
      </c>
      <c r="I15" s="6" t="s">
        <v>152</v>
      </c>
      <c r="J15" s="6" t="s">
        <v>152</v>
      </c>
      <c r="K15" s="6" t="s">
        <v>152</v>
      </c>
      <c r="L15" s="6" t="s">
        <v>152</v>
      </c>
      <c r="M15" s="6" t="s">
        <v>152</v>
      </c>
      <c r="N15" s="6" t="s">
        <v>152</v>
      </c>
      <c r="O15" s="6" t="s">
        <v>152</v>
      </c>
      <c r="P15" s="6" t="s">
        <v>152</v>
      </c>
      <c r="Q15" s="6" t="s">
        <v>152</v>
      </c>
      <c r="R15" s="6" t="s">
        <v>152</v>
      </c>
      <c r="S15" s="6" t="s">
        <v>152</v>
      </c>
      <c r="T15" s="6" t="s">
        <v>152</v>
      </c>
      <c r="U15" s="6" t="s">
        <v>152</v>
      </c>
      <c r="V15" s="6" t="s">
        <v>152</v>
      </c>
      <c r="W15" s="6" t="s">
        <v>152</v>
      </c>
      <c r="X15" s="6" t="s">
        <v>152</v>
      </c>
      <c r="Y15" s="6" t="s">
        <v>152</v>
      </c>
      <c r="Z15" s="6" t="s">
        <v>152</v>
      </c>
      <c r="AA15" s="6" t="s">
        <v>152</v>
      </c>
      <c r="AB15" s="9" t="s">
        <v>165</v>
      </c>
      <c r="AC15" s="6" t="s">
        <v>152</v>
      </c>
      <c r="AD15" s="6" t="s">
        <v>152</v>
      </c>
      <c r="AE15" s="6" t="s">
        <v>152</v>
      </c>
      <c r="AF15" s="6" t="s">
        <v>152</v>
      </c>
      <c r="AG15" s="6" t="s">
        <v>152</v>
      </c>
      <c r="AH15" s="6" t="s">
        <v>152</v>
      </c>
      <c r="AI15" s="6" t="s">
        <v>152</v>
      </c>
      <c r="AJ15" s="6" t="s">
        <v>152</v>
      </c>
      <c r="AK15" s="6" t="s">
        <v>152</v>
      </c>
      <c r="AL15" s="6" t="s">
        <v>152</v>
      </c>
      <c r="AM15" s="6" t="s">
        <v>152</v>
      </c>
      <c r="AN15" s="6" t="s">
        <v>152</v>
      </c>
      <c r="AO15" s="6" t="s">
        <v>152</v>
      </c>
      <c r="AP15" s="6" t="s">
        <v>152</v>
      </c>
      <c r="AQ15" s="6" t="s">
        <v>152</v>
      </c>
      <c r="AR15" s="6" t="s">
        <v>152</v>
      </c>
    </row>
    <row r="16" spans="1:44" x14ac:dyDescent="0.2">
      <c r="A16" s="1" t="str">
        <f ca="1">IFERROR(__xludf.DUMMYFUNCTION("""COMPUTED_VALUE"""),"Black Widow")</f>
        <v>Black Widow</v>
      </c>
      <c r="B16" s="6" t="s">
        <v>152</v>
      </c>
      <c r="C16" s="6" t="s">
        <v>152</v>
      </c>
      <c r="D16" s="6" t="s">
        <v>152</v>
      </c>
      <c r="E16" s="6" t="s">
        <v>152</v>
      </c>
      <c r="F16" s="6" t="s">
        <v>152</v>
      </c>
      <c r="G16" s="6" t="s">
        <v>152</v>
      </c>
      <c r="H16" s="6" t="s">
        <v>152</v>
      </c>
      <c r="I16" s="6" t="s">
        <v>152</v>
      </c>
      <c r="J16" s="6" t="s">
        <v>152</v>
      </c>
      <c r="K16" s="6" t="s">
        <v>152</v>
      </c>
      <c r="L16" s="6" t="s">
        <v>152</v>
      </c>
      <c r="M16" s="6" t="s">
        <v>152</v>
      </c>
      <c r="N16" s="6" t="s">
        <v>152</v>
      </c>
      <c r="O16" s="6" t="s">
        <v>152</v>
      </c>
      <c r="P16" s="6" t="s">
        <v>152</v>
      </c>
      <c r="Q16" s="6" t="s">
        <v>152</v>
      </c>
      <c r="R16" s="6" t="s">
        <v>152</v>
      </c>
      <c r="S16" s="6" t="s">
        <v>152</v>
      </c>
      <c r="T16" s="6" t="s">
        <v>152</v>
      </c>
      <c r="U16" s="6" t="s">
        <v>152</v>
      </c>
      <c r="V16" s="6" t="s">
        <v>152</v>
      </c>
      <c r="W16" s="6" t="s">
        <v>152</v>
      </c>
      <c r="X16" s="6" t="s">
        <v>152</v>
      </c>
      <c r="Y16" s="6" t="s">
        <v>152</v>
      </c>
      <c r="Z16" s="6" t="s">
        <v>152</v>
      </c>
      <c r="AA16" s="6" t="s">
        <v>152</v>
      </c>
      <c r="AB16" s="9" t="s">
        <v>165</v>
      </c>
      <c r="AC16" s="6" t="s">
        <v>152</v>
      </c>
      <c r="AD16" s="6" t="s">
        <v>152</v>
      </c>
      <c r="AE16" s="6" t="s">
        <v>152</v>
      </c>
      <c r="AF16" s="6" t="s">
        <v>152</v>
      </c>
      <c r="AG16" s="6" t="s">
        <v>152</v>
      </c>
      <c r="AH16" s="6" t="s">
        <v>152</v>
      </c>
      <c r="AI16" s="6" t="s">
        <v>152</v>
      </c>
      <c r="AJ16" s="6" t="s">
        <v>152</v>
      </c>
      <c r="AK16" s="6" t="s">
        <v>152</v>
      </c>
      <c r="AL16" s="6" t="s">
        <v>152</v>
      </c>
      <c r="AM16" s="6" t="s">
        <v>152</v>
      </c>
      <c r="AN16" s="6" t="s">
        <v>152</v>
      </c>
      <c r="AO16" s="6" t="s">
        <v>152</v>
      </c>
      <c r="AP16" s="6" t="s">
        <v>152</v>
      </c>
      <c r="AQ16" s="6" t="s">
        <v>152</v>
      </c>
      <c r="AR16" s="6" t="s">
        <v>152</v>
      </c>
    </row>
    <row r="17" spans="1:44" x14ac:dyDescent="0.2">
      <c r="A17" s="1" t="str">
        <f ca="1">IFERROR(__xludf.DUMMYFUNCTION("""COMPUTED_VALUE"""),"Black Widow (Claire Voyant)")</f>
        <v>Black Widow (Claire Voyant)</v>
      </c>
      <c r="B17" s="6" t="s">
        <v>152</v>
      </c>
      <c r="C17" s="6" t="s">
        <v>152</v>
      </c>
      <c r="D17" s="6" t="s">
        <v>152</v>
      </c>
      <c r="E17" s="6" t="s">
        <v>152</v>
      </c>
      <c r="F17" s="9" t="s">
        <v>165</v>
      </c>
      <c r="G17" s="9" t="s">
        <v>165</v>
      </c>
      <c r="H17" s="6" t="s">
        <v>152</v>
      </c>
      <c r="I17" s="6" t="s">
        <v>152</v>
      </c>
      <c r="J17" s="6" t="s">
        <v>152</v>
      </c>
      <c r="K17" s="6" t="s">
        <v>152</v>
      </c>
      <c r="L17" s="6" t="s">
        <v>152</v>
      </c>
      <c r="M17" s="6" t="s">
        <v>152</v>
      </c>
      <c r="N17" s="6" t="s">
        <v>152</v>
      </c>
      <c r="O17" s="6" t="s">
        <v>152</v>
      </c>
      <c r="P17" s="6" t="s">
        <v>152</v>
      </c>
      <c r="Q17" s="6" t="s">
        <v>152</v>
      </c>
      <c r="R17" s="6" t="s">
        <v>152</v>
      </c>
      <c r="S17" s="6" t="s">
        <v>152</v>
      </c>
      <c r="T17" s="9" t="s">
        <v>165</v>
      </c>
      <c r="U17" s="6" t="s">
        <v>152</v>
      </c>
      <c r="V17" s="6" t="s">
        <v>152</v>
      </c>
      <c r="W17" s="6" t="s">
        <v>152</v>
      </c>
      <c r="X17" s="6" t="s">
        <v>152</v>
      </c>
      <c r="Y17" s="6" t="s">
        <v>152</v>
      </c>
      <c r="Z17" s="6" t="s">
        <v>152</v>
      </c>
      <c r="AA17" s="6" t="s">
        <v>152</v>
      </c>
      <c r="AB17" s="9" t="s">
        <v>165</v>
      </c>
      <c r="AC17" s="6" t="s">
        <v>152</v>
      </c>
      <c r="AD17" s="6" t="s">
        <v>152</v>
      </c>
      <c r="AE17" s="6" t="s">
        <v>152</v>
      </c>
      <c r="AF17" s="6" t="s">
        <v>152</v>
      </c>
      <c r="AG17" s="6" t="s">
        <v>152</v>
      </c>
      <c r="AH17" s="6" t="s">
        <v>152</v>
      </c>
      <c r="AI17" s="6" t="s">
        <v>152</v>
      </c>
      <c r="AJ17" s="6" t="s">
        <v>152</v>
      </c>
      <c r="AK17" s="6" t="s">
        <v>152</v>
      </c>
      <c r="AL17" s="6" t="s">
        <v>152</v>
      </c>
      <c r="AM17" s="6" t="s">
        <v>152</v>
      </c>
      <c r="AN17" s="6" t="s">
        <v>152</v>
      </c>
      <c r="AO17" s="6" t="s">
        <v>152</v>
      </c>
      <c r="AP17" s="6" t="s">
        <v>152</v>
      </c>
      <c r="AQ17" s="6" t="s">
        <v>152</v>
      </c>
      <c r="AR17" s="6" t="s">
        <v>152</v>
      </c>
    </row>
    <row r="18" spans="1:44" x14ac:dyDescent="0.2">
      <c r="A18" s="1" t="str">
        <f ca="1">IFERROR(__xludf.DUMMYFUNCTION("""COMPUTED_VALUE"""),"Black Widow (Deadly Origin)")</f>
        <v>Black Widow (Deadly Origin)</v>
      </c>
      <c r="B18" s="6" t="s">
        <v>152</v>
      </c>
      <c r="C18" s="6" t="s">
        <v>152</v>
      </c>
      <c r="D18" s="6" t="s">
        <v>152</v>
      </c>
      <c r="E18" s="6" t="s">
        <v>152</v>
      </c>
      <c r="F18" s="6" t="s">
        <v>152</v>
      </c>
      <c r="G18" s="6" t="s">
        <v>152</v>
      </c>
      <c r="H18" s="6" t="s">
        <v>152</v>
      </c>
      <c r="I18" s="6" t="s">
        <v>152</v>
      </c>
      <c r="J18" s="6" t="s">
        <v>152</v>
      </c>
      <c r="K18" s="6" t="s">
        <v>152</v>
      </c>
      <c r="L18" s="6" t="s">
        <v>152</v>
      </c>
      <c r="M18" s="6" t="s">
        <v>152</v>
      </c>
      <c r="N18" s="6" t="s">
        <v>152</v>
      </c>
      <c r="O18" s="6" t="s">
        <v>152</v>
      </c>
      <c r="P18" s="6" t="s">
        <v>152</v>
      </c>
      <c r="Q18" s="6" t="s">
        <v>152</v>
      </c>
      <c r="R18" s="6" t="s">
        <v>152</v>
      </c>
      <c r="S18" s="6" t="s">
        <v>152</v>
      </c>
      <c r="T18" s="6" t="s">
        <v>152</v>
      </c>
      <c r="U18" s="6" t="s">
        <v>152</v>
      </c>
      <c r="V18" s="6" t="s">
        <v>152</v>
      </c>
      <c r="W18" s="6" t="s">
        <v>152</v>
      </c>
      <c r="X18" s="6" t="s">
        <v>152</v>
      </c>
      <c r="Y18" s="6" t="s">
        <v>152</v>
      </c>
      <c r="Z18" s="6" t="s">
        <v>152</v>
      </c>
      <c r="AA18" s="6" t="s">
        <v>152</v>
      </c>
      <c r="AB18" s="9" t="s">
        <v>165</v>
      </c>
      <c r="AC18" s="6" t="s">
        <v>152</v>
      </c>
      <c r="AD18" s="6" t="s">
        <v>152</v>
      </c>
      <c r="AE18" s="6" t="s">
        <v>152</v>
      </c>
      <c r="AF18" s="6" t="s">
        <v>152</v>
      </c>
      <c r="AG18" s="6" t="s">
        <v>152</v>
      </c>
      <c r="AH18" s="6" t="s">
        <v>152</v>
      </c>
      <c r="AI18" s="6" t="s">
        <v>152</v>
      </c>
      <c r="AJ18" s="6" t="s">
        <v>152</v>
      </c>
      <c r="AK18" s="6" t="s">
        <v>152</v>
      </c>
      <c r="AL18" s="6" t="s">
        <v>152</v>
      </c>
      <c r="AM18" s="6" t="s">
        <v>152</v>
      </c>
      <c r="AN18" s="6" t="s">
        <v>152</v>
      </c>
      <c r="AO18" s="6" t="s">
        <v>152</v>
      </c>
      <c r="AP18" s="6" t="s">
        <v>152</v>
      </c>
      <c r="AQ18" s="6" t="s">
        <v>152</v>
      </c>
      <c r="AR18" s="6" t="s">
        <v>152</v>
      </c>
    </row>
    <row r="19" spans="1:44" x14ac:dyDescent="0.2">
      <c r="A19" s="1" t="str">
        <f ca="1">IFERROR(__xludf.DUMMYFUNCTION("""COMPUTED_VALUE"""),"Blue Marvel")</f>
        <v>Blue Marvel</v>
      </c>
      <c r="B19" s="6" t="s">
        <v>152</v>
      </c>
      <c r="C19" s="6" t="s">
        <v>152</v>
      </c>
      <c r="D19" s="6" t="s">
        <v>152</v>
      </c>
      <c r="E19" s="6" t="s">
        <v>152</v>
      </c>
      <c r="F19" s="9" t="s">
        <v>165</v>
      </c>
      <c r="G19" s="6" t="s">
        <v>152</v>
      </c>
      <c r="H19" s="6" t="s">
        <v>152</v>
      </c>
      <c r="I19" s="6" t="s">
        <v>152</v>
      </c>
      <c r="J19" s="6" t="s">
        <v>152</v>
      </c>
      <c r="K19" s="6" t="s">
        <v>152</v>
      </c>
      <c r="L19" s="6" t="s">
        <v>152</v>
      </c>
      <c r="M19" s="6" t="s">
        <v>152</v>
      </c>
      <c r="N19" s="6" t="s">
        <v>152</v>
      </c>
      <c r="O19" s="6" t="s">
        <v>152</v>
      </c>
      <c r="P19" s="6" t="s">
        <v>152</v>
      </c>
      <c r="Q19" s="6" t="s">
        <v>152</v>
      </c>
      <c r="R19" s="6" t="s">
        <v>152</v>
      </c>
      <c r="S19" s="6" t="s">
        <v>152</v>
      </c>
      <c r="T19" s="6" t="s">
        <v>152</v>
      </c>
      <c r="U19" s="6" t="s">
        <v>152</v>
      </c>
      <c r="V19" s="6" t="s">
        <v>152</v>
      </c>
      <c r="W19" s="6" t="s">
        <v>152</v>
      </c>
      <c r="X19" s="6" t="s">
        <v>152</v>
      </c>
      <c r="Y19" s="6" t="s">
        <v>152</v>
      </c>
      <c r="Z19" s="6" t="s">
        <v>152</v>
      </c>
      <c r="AA19" s="6" t="s">
        <v>152</v>
      </c>
      <c r="AB19" s="6" t="s">
        <v>152</v>
      </c>
      <c r="AC19" s="6" t="s">
        <v>152</v>
      </c>
      <c r="AD19" s="6" t="s">
        <v>152</v>
      </c>
      <c r="AE19" s="6" t="s">
        <v>152</v>
      </c>
      <c r="AF19" s="9" t="s">
        <v>165</v>
      </c>
      <c r="AG19" s="6" t="s">
        <v>152</v>
      </c>
      <c r="AH19" s="6" t="s">
        <v>152</v>
      </c>
      <c r="AI19" s="6" t="s">
        <v>152</v>
      </c>
      <c r="AJ19" s="6" t="s">
        <v>152</v>
      </c>
      <c r="AK19" s="6" t="s">
        <v>152</v>
      </c>
      <c r="AL19" s="6" t="s">
        <v>152</v>
      </c>
      <c r="AM19" s="6" t="s">
        <v>152</v>
      </c>
      <c r="AN19" s="6" t="s">
        <v>152</v>
      </c>
      <c r="AO19" s="6" t="s">
        <v>152</v>
      </c>
      <c r="AP19" s="6" t="s">
        <v>152</v>
      </c>
      <c r="AQ19" s="6" t="s">
        <v>152</v>
      </c>
      <c r="AR19" s="6" t="s">
        <v>152</v>
      </c>
    </row>
    <row r="20" spans="1:44" x14ac:dyDescent="0.2">
      <c r="A20" s="1" t="str">
        <f ca="1">IFERROR(__xludf.DUMMYFUNCTION("""COMPUTED_VALUE"""),"Bullseye")</f>
        <v>Bullseye</v>
      </c>
      <c r="B20" s="6" t="s">
        <v>152</v>
      </c>
      <c r="C20" s="6" t="s">
        <v>152</v>
      </c>
      <c r="D20" s="6" t="s">
        <v>152</v>
      </c>
      <c r="E20" s="6" t="s">
        <v>152</v>
      </c>
      <c r="F20" s="6" t="s">
        <v>152</v>
      </c>
      <c r="G20" s="6" t="s">
        <v>152</v>
      </c>
      <c r="H20" s="6" t="s">
        <v>152</v>
      </c>
      <c r="I20" s="6" t="s">
        <v>152</v>
      </c>
      <c r="J20" s="6" t="s">
        <v>152</v>
      </c>
      <c r="K20" s="6" t="s">
        <v>152</v>
      </c>
      <c r="L20" s="6" t="s">
        <v>152</v>
      </c>
      <c r="M20" s="6" t="s">
        <v>152</v>
      </c>
      <c r="N20" s="6" t="s">
        <v>152</v>
      </c>
      <c r="O20" s="6" t="s">
        <v>152</v>
      </c>
      <c r="P20" s="6" t="s">
        <v>152</v>
      </c>
      <c r="Q20" s="9" t="s">
        <v>165</v>
      </c>
      <c r="R20" s="6" t="s">
        <v>152</v>
      </c>
      <c r="S20" s="6" t="s">
        <v>152</v>
      </c>
      <c r="T20" s="6" t="s">
        <v>152</v>
      </c>
      <c r="U20" s="6" t="s">
        <v>152</v>
      </c>
      <c r="V20" s="6" t="s">
        <v>152</v>
      </c>
      <c r="W20" s="6" t="s">
        <v>152</v>
      </c>
      <c r="X20" s="6" t="s">
        <v>152</v>
      </c>
      <c r="Y20" s="6" t="s">
        <v>152</v>
      </c>
      <c r="Z20" s="6" t="s">
        <v>152</v>
      </c>
      <c r="AA20" s="6" t="s">
        <v>152</v>
      </c>
      <c r="AB20" s="6" t="s">
        <v>152</v>
      </c>
      <c r="AC20" s="6" t="s">
        <v>152</v>
      </c>
      <c r="AD20" s="6" t="s">
        <v>152</v>
      </c>
      <c r="AE20" s="6" t="s">
        <v>152</v>
      </c>
      <c r="AF20" s="6" t="s">
        <v>152</v>
      </c>
      <c r="AG20" s="6" t="s">
        <v>152</v>
      </c>
      <c r="AH20" s="9" t="s">
        <v>165</v>
      </c>
      <c r="AI20" s="6" t="s">
        <v>152</v>
      </c>
      <c r="AJ20" s="6" t="s">
        <v>152</v>
      </c>
      <c r="AK20" s="6" t="s">
        <v>152</v>
      </c>
      <c r="AL20" s="6" t="s">
        <v>152</v>
      </c>
      <c r="AM20" s="6" t="s">
        <v>152</v>
      </c>
      <c r="AN20" s="6" t="s">
        <v>152</v>
      </c>
      <c r="AO20" s="6" t="s">
        <v>152</v>
      </c>
      <c r="AP20" s="6" t="s">
        <v>152</v>
      </c>
      <c r="AQ20" s="6" t="s">
        <v>152</v>
      </c>
      <c r="AR20" s="6" t="s">
        <v>152</v>
      </c>
    </row>
    <row r="21" spans="1:44" x14ac:dyDescent="0.2">
      <c r="A21" s="1" t="str">
        <f ca="1">IFERROR(__xludf.DUMMYFUNCTION("""COMPUTED_VALUE"""),"Captain Marvel")</f>
        <v>Captain Marvel</v>
      </c>
      <c r="B21" s="6" t="s">
        <v>152</v>
      </c>
      <c r="C21" s="6" t="s">
        <v>152</v>
      </c>
      <c r="D21" s="6" t="s">
        <v>152</v>
      </c>
      <c r="E21" s="6" t="s">
        <v>152</v>
      </c>
      <c r="F21" s="6" t="s">
        <v>152</v>
      </c>
      <c r="G21" s="6" t="s">
        <v>152</v>
      </c>
      <c r="H21" s="6" t="s">
        <v>152</v>
      </c>
      <c r="I21" s="6" t="s">
        <v>152</v>
      </c>
      <c r="J21" s="6" t="s">
        <v>152</v>
      </c>
      <c r="K21" s="6" t="s">
        <v>152</v>
      </c>
      <c r="L21" s="6" t="s">
        <v>152</v>
      </c>
      <c r="M21" s="6" t="s">
        <v>152</v>
      </c>
      <c r="N21" s="6" t="s">
        <v>152</v>
      </c>
      <c r="O21" s="6" t="s">
        <v>152</v>
      </c>
      <c r="P21" s="6" t="s">
        <v>152</v>
      </c>
      <c r="Q21" s="6" t="s">
        <v>152</v>
      </c>
      <c r="R21" s="6" t="s">
        <v>152</v>
      </c>
      <c r="S21" s="6" t="s">
        <v>152</v>
      </c>
      <c r="T21" s="6" t="s">
        <v>152</v>
      </c>
      <c r="U21" s="6" t="s">
        <v>152</v>
      </c>
      <c r="V21" s="6" t="s">
        <v>152</v>
      </c>
      <c r="W21" s="6" t="s">
        <v>152</v>
      </c>
      <c r="X21" s="6" t="s">
        <v>152</v>
      </c>
      <c r="Y21" s="6" t="s">
        <v>152</v>
      </c>
      <c r="Z21" s="6" t="s">
        <v>152</v>
      </c>
      <c r="AA21" s="6" t="s">
        <v>152</v>
      </c>
      <c r="AB21" s="9" t="s">
        <v>165</v>
      </c>
      <c r="AC21" s="6" t="s">
        <v>152</v>
      </c>
      <c r="AD21" s="6" t="s">
        <v>152</v>
      </c>
      <c r="AE21" s="6" t="s">
        <v>152</v>
      </c>
      <c r="AF21" s="6" t="s">
        <v>152</v>
      </c>
      <c r="AG21" s="6" t="s">
        <v>152</v>
      </c>
      <c r="AH21" s="6" t="s">
        <v>152</v>
      </c>
      <c r="AI21" s="6" t="s">
        <v>152</v>
      </c>
      <c r="AJ21" s="6" t="s">
        <v>152</v>
      </c>
      <c r="AK21" s="6" t="s">
        <v>152</v>
      </c>
      <c r="AL21" s="6" t="s">
        <v>152</v>
      </c>
      <c r="AM21" s="6" t="s">
        <v>152</v>
      </c>
      <c r="AN21" s="6" t="s">
        <v>152</v>
      </c>
      <c r="AO21" s="6" t="s">
        <v>152</v>
      </c>
      <c r="AP21" s="6" t="s">
        <v>152</v>
      </c>
      <c r="AQ21" s="6" t="s">
        <v>152</v>
      </c>
      <c r="AR21" s="6" t="s">
        <v>152</v>
      </c>
    </row>
    <row r="22" spans="1:44" x14ac:dyDescent="0.2">
      <c r="A22" s="1" t="str">
        <f ca="1">IFERROR(__xludf.DUMMYFUNCTION("""COMPUTED_VALUE"""),"Captain Marvel (Classic)")</f>
        <v>Captain Marvel (Classic)</v>
      </c>
      <c r="B22" s="6" t="s">
        <v>152</v>
      </c>
      <c r="C22" s="6" t="s">
        <v>152</v>
      </c>
      <c r="D22" s="6" t="s">
        <v>152</v>
      </c>
      <c r="E22" s="6" t="s">
        <v>152</v>
      </c>
      <c r="F22" s="6" t="s">
        <v>152</v>
      </c>
      <c r="G22" s="6" t="s">
        <v>152</v>
      </c>
      <c r="H22" s="6" t="s">
        <v>152</v>
      </c>
      <c r="I22" s="6" t="s">
        <v>152</v>
      </c>
      <c r="J22" s="6" t="s">
        <v>152</v>
      </c>
      <c r="K22" s="6" t="s">
        <v>152</v>
      </c>
      <c r="L22" s="6" t="s">
        <v>152</v>
      </c>
      <c r="M22" s="6" t="s">
        <v>152</v>
      </c>
      <c r="N22" s="6" t="s">
        <v>152</v>
      </c>
      <c r="O22" s="6" t="s">
        <v>152</v>
      </c>
      <c r="P22" s="6" t="s">
        <v>152</v>
      </c>
      <c r="Q22" s="6" t="s">
        <v>152</v>
      </c>
      <c r="R22" s="6" t="s">
        <v>152</v>
      </c>
      <c r="S22" s="6" t="s">
        <v>152</v>
      </c>
      <c r="T22" s="6" t="s">
        <v>152</v>
      </c>
      <c r="U22" s="6" t="s">
        <v>152</v>
      </c>
      <c r="V22" s="6" t="s">
        <v>152</v>
      </c>
      <c r="W22" s="6" t="s">
        <v>152</v>
      </c>
      <c r="X22" s="6" t="s">
        <v>152</v>
      </c>
      <c r="Y22" s="6" t="s">
        <v>152</v>
      </c>
      <c r="Z22" s="6" t="s">
        <v>152</v>
      </c>
      <c r="AA22" s="6" t="s">
        <v>152</v>
      </c>
      <c r="AB22" s="9" t="s">
        <v>165</v>
      </c>
      <c r="AC22" s="6" t="s">
        <v>152</v>
      </c>
      <c r="AD22" s="6" t="s">
        <v>152</v>
      </c>
      <c r="AE22" s="6" t="s">
        <v>152</v>
      </c>
      <c r="AF22" s="6" t="s">
        <v>152</v>
      </c>
      <c r="AG22" s="6" t="s">
        <v>152</v>
      </c>
      <c r="AH22" s="6" t="s">
        <v>152</v>
      </c>
      <c r="AI22" s="6" t="s">
        <v>152</v>
      </c>
      <c r="AJ22" s="6" t="s">
        <v>152</v>
      </c>
      <c r="AK22" s="6" t="s">
        <v>152</v>
      </c>
      <c r="AL22" s="6" t="s">
        <v>152</v>
      </c>
      <c r="AM22" s="6" t="s">
        <v>152</v>
      </c>
      <c r="AN22" s="6" t="s">
        <v>152</v>
      </c>
      <c r="AO22" s="6" t="s">
        <v>152</v>
      </c>
      <c r="AP22" s="6" t="s">
        <v>152</v>
      </c>
      <c r="AQ22" s="6" t="s">
        <v>152</v>
      </c>
      <c r="AR22" s="6" t="s">
        <v>152</v>
      </c>
    </row>
    <row r="23" spans="1:44" x14ac:dyDescent="0.2">
      <c r="A23" s="1" t="str">
        <f ca="1">IFERROR(__xludf.DUMMYFUNCTION("""COMPUTED_VALUE"""),"Cassie Lang")</f>
        <v>Cassie Lang</v>
      </c>
      <c r="B23" s="6" t="s">
        <v>152</v>
      </c>
      <c r="C23" s="6" t="s">
        <v>152</v>
      </c>
      <c r="D23" s="6" t="s">
        <v>152</v>
      </c>
      <c r="E23" s="6" t="s">
        <v>152</v>
      </c>
      <c r="F23" s="6" t="s">
        <v>152</v>
      </c>
      <c r="G23" s="9" t="s">
        <v>165</v>
      </c>
      <c r="H23" s="6" t="s">
        <v>152</v>
      </c>
      <c r="I23" s="6" t="s">
        <v>152</v>
      </c>
      <c r="J23" s="6" t="s">
        <v>152</v>
      </c>
      <c r="K23" s="6" t="s">
        <v>152</v>
      </c>
      <c r="L23" s="6" t="s">
        <v>152</v>
      </c>
      <c r="M23" s="6" t="s">
        <v>152</v>
      </c>
      <c r="N23" s="6" t="s">
        <v>152</v>
      </c>
      <c r="O23" s="6" t="s">
        <v>152</v>
      </c>
      <c r="P23" s="6" t="s">
        <v>152</v>
      </c>
      <c r="Q23" s="6" t="s">
        <v>152</v>
      </c>
      <c r="R23" s="6" t="s">
        <v>152</v>
      </c>
      <c r="S23" s="6" t="s">
        <v>152</v>
      </c>
      <c r="T23" s="6" t="s">
        <v>152</v>
      </c>
      <c r="U23" s="6" t="s">
        <v>152</v>
      </c>
      <c r="V23" s="6" t="s">
        <v>152</v>
      </c>
      <c r="W23" s="6" t="s">
        <v>152</v>
      </c>
      <c r="X23" s="6" t="s">
        <v>152</v>
      </c>
      <c r="Y23" s="6" t="s">
        <v>152</v>
      </c>
      <c r="Z23" s="6" t="s">
        <v>152</v>
      </c>
      <c r="AA23" s="6" t="s">
        <v>152</v>
      </c>
      <c r="AB23" s="9" t="s">
        <v>165</v>
      </c>
      <c r="AC23" s="6" t="s">
        <v>152</v>
      </c>
      <c r="AD23" s="6" t="s">
        <v>152</v>
      </c>
      <c r="AE23" s="6" t="s">
        <v>152</v>
      </c>
      <c r="AF23" s="9" t="s">
        <v>165</v>
      </c>
      <c r="AG23" s="6" t="s">
        <v>152</v>
      </c>
      <c r="AH23" s="6" t="s">
        <v>152</v>
      </c>
      <c r="AI23" s="6" t="s">
        <v>152</v>
      </c>
      <c r="AJ23" s="6" t="s">
        <v>152</v>
      </c>
      <c r="AK23" s="9" t="s">
        <v>165</v>
      </c>
      <c r="AL23" s="6" t="s">
        <v>152</v>
      </c>
      <c r="AM23" s="6" t="s">
        <v>152</v>
      </c>
      <c r="AN23" s="6" t="s">
        <v>152</v>
      </c>
      <c r="AO23" s="6" t="s">
        <v>152</v>
      </c>
      <c r="AP23" s="6" t="s">
        <v>152</v>
      </c>
      <c r="AQ23" s="6" t="s">
        <v>152</v>
      </c>
      <c r="AR23" s="6" t="s">
        <v>152</v>
      </c>
    </row>
    <row r="24" spans="1:44" x14ac:dyDescent="0.2">
      <c r="A24" s="1" t="str">
        <f ca="1">IFERROR(__xludf.DUMMYFUNCTION("""COMPUTED_VALUE"""),"Civil Warrior")</f>
        <v>Civil Warrior</v>
      </c>
      <c r="B24" s="6" t="s">
        <v>152</v>
      </c>
      <c r="C24" s="6" t="s">
        <v>152</v>
      </c>
      <c r="D24" s="6" t="s">
        <v>152</v>
      </c>
      <c r="E24" s="6" t="s">
        <v>152</v>
      </c>
      <c r="F24" s="6" t="s">
        <v>152</v>
      </c>
      <c r="G24" s="6" t="s">
        <v>152</v>
      </c>
      <c r="H24" s="6" t="s">
        <v>152</v>
      </c>
      <c r="I24" s="6" t="s">
        <v>152</v>
      </c>
      <c r="J24" s="6" t="s">
        <v>152</v>
      </c>
      <c r="K24" s="6" t="s">
        <v>152</v>
      </c>
      <c r="L24" s="6" t="s">
        <v>152</v>
      </c>
      <c r="M24" s="6" t="s">
        <v>152</v>
      </c>
      <c r="N24" s="6" t="s">
        <v>152</v>
      </c>
      <c r="O24" s="6" t="s">
        <v>152</v>
      </c>
      <c r="P24" s="6" t="s">
        <v>152</v>
      </c>
      <c r="Q24" s="6" t="s">
        <v>152</v>
      </c>
      <c r="R24" s="6" t="s">
        <v>152</v>
      </c>
      <c r="S24" s="6" t="s">
        <v>152</v>
      </c>
      <c r="T24" s="6" t="s">
        <v>152</v>
      </c>
      <c r="U24" s="6" t="s">
        <v>152</v>
      </c>
      <c r="V24" s="6" t="s">
        <v>152</v>
      </c>
      <c r="W24" s="6" t="s">
        <v>152</v>
      </c>
      <c r="X24" s="6" t="s">
        <v>152</v>
      </c>
      <c r="Y24" s="6" t="s">
        <v>152</v>
      </c>
      <c r="Z24" s="9" t="s">
        <v>165</v>
      </c>
      <c r="AA24" s="6" t="s">
        <v>152</v>
      </c>
      <c r="AB24" s="6" t="s">
        <v>152</v>
      </c>
      <c r="AC24" s="6" t="s">
        <v>152</v>
      </c>
      <c r="AD24" s="6" t="s">
        <v>152</v>
      </c>
      <c r="AE24" s="6" t="s">
        <v>152</v>
      </c>
      <c r="AF24" s="6" t="s">
        <v>152</v>
      </c>
      <c r="AG24" s="6" t="s">
        <v>152</v>
      </c>
      <c r="AH24" s="6" t="s">
        <v>152</v>
      </c>
      <c r="AI24" s="6" t="s">
        <v>152</v>
      </c>
      <c r="AJ24" s="6" t="s">
        <v>152</v>
      </c>
      <c r="AK24" s="6" t="s">
        <v>152</v>
      </c>
      <c r="AL24" s="6" t="s">
        <v>152</v>
      </c>
      <c r="AM24" s="6" t="s">
        <v>152</v>
      </c>
      <c r="AN24" s="6" t="s">
        <v>152</v>
      </c>
      <c r="AO24" s="9" t="s">
        <v>165</v>
      </c>
      <c r="AP24" s="6" t="s">
        <v>152</v>
      </c>
      <c r="AQ24" s="6" t="s">
        <v>152</v>
      </c>
      <c r="AR24" s="6" t="s">
        <v>152</v>
      </c>
    </row>
    <row r="25" spans="1:44" x14ac:dyDescent="0.2">
      <c r="A25" s="1" t="str">
        <f ca="1">IFERROR(__xludf.DUMMYFUNCTION("""COMPUTED_VALUE"""),"Colossus")</f>
        <v>Colossus</v>
      </c>
      <c r="B25" s="6" t="s">
        <v>152</v>
      </c>
      <c r="C25" s="9" t="s">
        <v>165</v>
      </c>
      <c r="D25" s="9" t="s">
        <v>165</v>
      </c>
      <c r="E25" s="6" t="s">
        <v>152</v>
      </c>
      <c r="F25" s="9" t="s">
        <v>165</v>
      </c>
      <c r="G25" s="6" t="s">
        <v>152</v>
      </c>
      <c r="H25" s="9" t="s">
        <v>165</v>
      </c>
      <c r="I25" s="6" t="s">
        <v>152</v>
      </c>
      <c r="J25" s="6" t="s">
        <v>152</v>
      </c>
      <c r="K25" s="6" t="s">
        <v>152</v>
      </c>
      <c r="L25" s="6" t="s">
        <v>152</v>
      </c>
      <c r="M25" s="6" t="s">
        <v>152</v>
      </c>
      <c r="N25" s="6" t="s">
        <v>152</v>
      </c>
      <c r="O25" s="6" t="s">
        <v>152</v>
      </c>
      <c r="P25" s="6" t="s">
        <v>152</v>
      </c>
      <c r="Q25" s="6" t="s">
        <v>152</v>
      </c>
      <c r="R25" s="9" t="s">
        <v>165</v>
      </c>
      <c r="S25" s="6" t="s">
        <v>152</v>
      </c>
      <c r="T25" s="9" t="s">
        <v>165</v>
      </c>
      <c r="U25" s="6" t="s">
        <v>152</v>
      </c>
      <c r="V25" s="6" t="s">
        <v>152</v>
      </c>
      <c r="W25" s="6" t="s">
        <v>152</v>
      </c>
      <c r="X25" s="6" t="s">
        <v>152</v>
      </c>
      <c r="Y25" s="6" t="s">
        <v>152</v>
      </c>
      <c r="Z25" s="6" t="s">
        <v>152</v>
      </c>
      <c r="AA25" s="6" t="s">
        <v>152</v>
      </c>
      <c r="AB25" s="6" t="s">
        <v>152</v>
      </c>
      <c r="AC25" s="6" t="s">
        <v>152</v>
      </c>
      <c r="AD25" s="6" t="s">
        <v>152</v>
      </c>
      <c r="AE25" s="6" t="s">
        <v>152</v>
      </c>
      <c r="AF25" s="6" t="s">
        <v>152</v>
      </c>
      <c r="AG25" s="6" t="s">
        <v>152</v>
      </c>
      <c r="AH25" s="6" t="s">
        <v>152</v>
      </c>
      <c r="AI25" s="6" t="s">
        <v>152</v>
      </c>
      <c r="AJ25" s="6" t="s">
        <v>152</v>
      </c>
      <c r="AK25" s="6" t="s">
        <v>152</v>
      </c>
      <c r="AL25" s="6" t="s">
        <v>152</v>
      </c>
      <c r="AM25" s="6" t="s">
        <v>152</v>
      </c>
      <c r="AN25" s="6" t="s">
        <v>152</v>
      </c>
      <c r="AO25" s="6" t="s">
        <v>152</v>
      </c>
      <c r="AP25" s="6" t="s">
        <v>152</v>
      </c>
      <c r="AQ25" s="6" t="s">
        <v>152</v>
      </c>
      <c r="AR25" s="6" t="s">
        <v>152</v>
      </c>
    </row>
    <row r="26" spans="1:44" x14ac:dyDescent="0.2">
      <c r="A26" s="1" t="str">
        <f ca="1">IFERROR(__xludf.DUMMYFUNCTION("""COMPUTED_VALUE"""),"Cosmic Ghost Rider")</f>
        <v>Cosmic Ghost Rider</v>
      </c>
      <c r="B26" s="6" t="s">
        <v>152</v>
      </c>
      <c r="C26" s="6" t="s">
        <v>152</v>
      </c>
      <c r="D26" s="6" t="s">
        <v>152</v>
      </c>
      <c r="E26" s="6" t="s">
        <v>152</v>
      </c>
      <c r="F26" s="9" t="s">
        <v>165</v>
      </c>
      <c r="G26" s="6" t="s">
        <v>152</v>
      </c>
      <c r="H26" s="6" t="s">
        <v>152</v>
      </c>
      <c r="I26" s="6" t="s">
        <v>152</v>
      </c>
      <c r="J26" s="6" t="s">
        <v>152</v>
      </c>
      <c r="K26" s="6" t="s">
        <v>152</v>
      </c>
      <c r="L26" s="6" t="s">
        <v>152</v>
      </c>
      <c r="M26" s="6" t="s">
        <v>152</v>
      </c>
      <c r="N26" s="6" t="s">
        <v>152</v>
      </c>
      <c r="O26" s="6" t="s">
        <v>152</v>
      </c>
      <c r="P26" s="6" t="s">
        <v>152</v>
      </c>
      <c r="Q26" s="6" t="s">
        <v>152</v>
      </c>
      <c r="R26" s="6" t="s">
        <v>152</v>
      </c>
      <c r="S26" s="6" t="s">
        <v>152</v>
      </c>
      <c r="T26" s="9" t="s">
        <v>165</v>
      </c>
      <c r="U26" s="6" t="s">
        <v>152</v>
      </c>
      <c r="V26" s="6" t="s">
        <v>152</v>
      </c>
      <c r="W26" s="6" t="s">
        <v>152</v>
      </c>
      <c r="X26" s="6" t="s">
        <v>152</v>
      </c>
      <c r="Y26" s="6" t="s">
        <v>152</v>
      </c>
      <c r="Z26" s="6" t="s">
        <v>152</v>
      </c>
      <c r="AA26" s="6" t="s">
        <v>152</v>
      </c>
      <c r="AB26" s="6" t="s">
        <v>152</v>
      </c>
      <c r="AC26" s="6" t="s">
        <v>152</v>
      </c>
      <c r="AD26" s="6" t="s">
        <v>152</v>
      </c>
      <c r="AE26" s="6" t="s">
        <v>152</v>
      </c>
      <c r="AF26" s="6" t="s">
        <v>152</v>
      </c>
      <c r="AG26" s="6" t="s">
        <v>152</v>
      </c>
      <c r="AH26" s="6" t="s">
        <v>152</v>
      </c>
      <c r="AI26" s="6" t="s">
        <v>152</v>
      </c>
      <c r="AJ26" s="6" t="s">
        <v>152</v>
      </c>
      <c r="AK26" s="6" t="s">
        <v>152</v>
      </c>
      <c r="AL26" s="6" t="s">
        <v>152</v>
      </c>
      <c r="AM26" s="6" t="s">
        <v>152</v>
      </c>
      <c r="AN26" s="6" t="s">
        <v>152</v>
      </c>
      <c r="AO26" s="6" t="s">
        <v>152</v>
      </c>
      <c r="AP26" s="6" t="s">
        <v>152</v>
      </c>
      <c r="AQ26" s="6" t="s">
        <v>152</v>
      </c>
      <c r="AR26" s="6" t="s">
        <v>152</v>
      </c>
    </row>
    <row r="27" spans="1:44" x14ac:dyDescent="0.2">
      <c r="A27" s="1" t="str">
        <f ca="1">IFERROR(__xludf.DUMMYFUNCTION("""COMPUTED_VALUE"""),"Count Nefaria")</f>
        <v>Count Nefaria</v>
      </c>
      <c r="B27" s="6" t="s">
        <v>152</v>
      </c>
      <c r="C27" s="6" t="s">
        <v>152</v>
      </c>
      <c r="D27" s="6" t="s">
        <v>152</v>
      </c>
      <c r="E27" s="6" t="s">
        <v>152</v>
      </c>
      <c r="F27" s="9" t="s">
        <v>165</v>
      </c>
      <c r="G27" s="6" t="s">
        <v>152</v>
      </c>
      <c r="H27" s="6" t="s">
        <v>152</v>
      </c>
      <c r="I27" s="6" t="s">
        <v>152</v>
      </c>
      <c r="J27" s="6" t="s">
        <v>152</v>
      </c>
      <c r="K27" s="6" t="s">
        <v>152</v>
      </c>
      <c r="L27" s="6" t="s">
        <v>152</v>
      </c>
      <c r="M27" s="6" t="s">
        <v>152</v>
      </c>
      <c r="N27" s="6" t="s">
        <v>152</v>
      </c>
      <c r="O27" s="6" t="s">
        <v>152</v>
      </c>
      <c r="P27" s="6" t="s">
        <v>152</v>
      </c>
      <c r="Q27" s="6" t="s">
        <v>152</v>
      </c>
      <c r="R27" s="6" t="s">
        <v>152</v>
      </c>
      <c r="S27" s="6" t="s">
        <v>152</v>
      </c>
      <c r="T27" s="6" t="s">
        <v>152</v>
      </c>
      <c r="U27" s="6" t="s">
        <v>152</v>
      </c>
      <c r="V27" s="6" t="s">
        <v>152</v>
      </c>
      <c r="W27" s="6" t="s">
        <v>152</v>
      </c>
      <c r="X27" s="6" t="s">
        <v>152</v>
      </c>
      <c r="Y27" s="6" t="s">
        <v>152</v>
      </c>
      <c r="Z27" s="6" t="s">
        <v>152</v>
      </c>
      <c r="AA27" s="6" t="s">
        <v>152</v>
      </c>
      <c r="AB27" s="6" t="s">
        <v>152</v>
      </c>
      <c r="AC27" s="6" t="s">
        <v>152</v>
      </c>
      <c r="AD27" s="6" t="s">
        <v>152</v>
      </c>
      <c r="AE27" s="6" t="s">
        <v>152</v>
      </c>
      <c r="AF27" s="9" t="s">
        <v>165</v>
      </c>
      <c r="AG27" s="6" t="s">
        <v>152</v>
      </c>
      <c r="AH27" s="6" t="s">
        <v>152</v>
      </c>
      <c r="AI27" s="6" t="s">
        <v>152</v>
      </c>
      <c r="AJ27" s="6" t="s">
        <v>152</v>
      </c>
      <c r="AK27" s="6" t="s">
        <v>152</v>
      </c>
      <c r="AL27" s="6" t="s">
        <v>152</v>
      </c>
      <c r="AM27" s="6" t="s">
        <v>152</v>
      </c>
      <c r="AN27" s="6" t="s">
        <v>152</v>
      </c>
      <c r="AO27" s="6" t="s">
        <v>152</v>
      </c>
      <c r="AP27" s="6" t="s">
        <v>152</v>
      </c>
      <c r="AQ27" s="6" t="s">
        <v>152</v>
      </c>
      <c r="AR27" s="6" t="s">
        <v>152</v>
      </c>
    </row>
    <row r="28" spans="1:44" x14ac:dyDescent="0.2">
      <c r="A28" s="1" t="str">
        <f ca="1">IFERROR(__xludf.DUMMYFUNCTION("""COMPUTED_VALUE"""),"Crossbones")</f>
        <v>Crossbones</v>
      </c>
      <c r="B28" s="6" t="s">
        <v>152</v>
      </c>
      <c r="C28" s="6" t="s">
        <v>152</v>
      </c>
      <c r="D28" s="6" t="s">
        <v>152</v>
      </c>
      <c r="E28" s="6" t="s">
        <v>152</v>
      </c>
      <c r="F28" s="6" t="s">
        <v>152</v>
      </c>
      <c r="G28" s="6" t="s">
        <v>152</v>
      </c>
      <c r="H28" s="6" t="s">
        <v>152</v>
      </c>
      <c r="I28" s="6" t="s">
        <v>152</v>
      </c>
      <c r="J28" s="6" t="s">
        <v>152</v>
      </c>
      <c r="K28" s="6" t="s">
        <v>152</v>
      </c>
      <c r="L28" s="6" t="s">
        <v>152</v>
      </c>
      <c r="M28" s="6" t="s">
        <v>152</v>
      </c>
      <c r="N28" s="6" t="s">
        <v>152</v>
      </c>
      <c r="O28" s="6" t="s">
        <v>152</v>
      </c>
      <c r="P28" s="6" t="s">
        <v>152</v>
      </c>
      <c r="Q28" s="6" t="s">
        <v>152</v>
      </c>
      <c r="R28" s="6" t="s">
        <v>152</v>
      </c>
      <c r="S28" s="6" t="s">
        <v>152</v>
      </c>
      <c r="T28" s="6" t="s">
        <v>152</v>
      </c>
      <c r="U28" s="6" t="s">
        <v>152</v>
      </c>
      <c r="V28" s="6" t="s">
        <v>152</v>
      </c>
      <c r="W28" s="6" t="s">
        <v>152</v>
      </c>
      <c r="X28" s="6" t="s">
        <v>152</v>
      </c>
      <c r="Y28" s="6" t="s">
        <v>152</v>
      </c>
      <c r="Z28" s="9" t="s">
        <v>165</v>
      </c>
      <c r="AA28" s="6" t="s">
        <v>152</v>
      </c>
      <c r="AB28" s="6" t="s">
        <v>152</v>
      </c>
      <c r="AC28" s="6" t="s">
        <v>152</v>
      </c>
      <c r="AD28" s="6" t="s">
        <v>152</v>
      </c>
      <c r="AE28" s="6" t="s">
        <v>152</v>
      </c>
      <c r="AF28" s="6" t="s">
        <v>152</v>
      </c>
      <c r="AG28" s="6" t="s">
        <v>152</v>
      </c>
      <c r="AH28" s="6" t="s">
        <v>152</v>
      </c>
      <c r="AI28" s="6" t="s">
        <v>152</v>
      </c>
      <c r="AJ28" s="6" t="s">
        <v>152</v>
      </c>
      <c r="AK28" s="6" t="s">
        <v>152</v>
      </c>
      <c r="AL28" s="6" t="s">
        <v>152</v>
      </c>
      <c r="AM28" s="6" t="s">
        <v>152</v>
      </c>
      <c r="AN28" s="6" t="s">
        <v>152</v>
      </c>
      <c r="AO28" s="9" t="s">
        <v>165</v>
      </c>
      <c r="AP28" s="6" t="s">
        <v>152</v>
      </c>
      <c r="AQ28" s="6" t="s">
        <v>152</v>
      </c>
      <c r="AR28" s="6" t="s">
        <v>152</v>
      </c>
    </row>
    <row r="29" spans="1:44" x14ac:dyDescent="0.2">
      <c r="A29" s="1" t="str">
        <f ca="1">IFERROR(__xludf.DUMMYFUNCTION("""COMPUTED_VALUE"""),"Daredevil (Hell's Kitchen)")</f>
        <v>Daredevil (Hell's Kitchen)</v>
      </c>
      <c r="B29" s="6" t="s">
        <v>152</v>
      </c>
      <c r="C29" s="6" t="s">
        <v>152</v>
      </c>
      <c r="D29" s="6" t="s">
        <v>152</v>
      </c>
      <c r="E29" s="6" t="s">
        <v>152</v>
      </c>
      <c r="F29" s="6" t="s">
        <v>152</v>
      </c>
      <c r="G29" s="6" t="s">
        <v>152</v>
      </c>
      <c r="H29" s="6" t="s">
        <v>152</v>
      </c>
      <c r="I29" s="6" t="s">
        <v>152</v>
      </c>
      <c r="J29" s="6" t="s">
        <v>152</v>
      </c>
      <c r="K29" s="6" t="s">
        <v>152</v>
      </c>
      <c r="L29" s="6" t="s">
        <v>152</v>
      </c>
      <c r="M29" s="6" t="s">
        <v>152</v>
      </c>
      <c r="N29" s="6" t="s">
        <v>152</v>
      </c>
      <c r="O29" s="6" t="s">
        <v>152</v>
      </c>
      <c r="P29" s="6" t="s">
        <v>152</v>
      </c>
      <c r="Q29" s="6" t="s">
        <v>152</v>
      </c>
      <c r="R29" s="6" t="s">
        <v>152</v>
      </c>
      <c r="S29" s="6" t="s">
        <v>152</v>
      </c>
      <c r="T29" s="6" t="s">
        <v>152</v>
      </c>
      <c r="U29" s="6" t="s">
        <v>152</v>
      </c>
      <c r="V29" s="6" t="s">
        <v>152</v>
      </c>
      <c r="W29" s="6" t="s">
        <v>152</v>
      </c>
      <c r="X29" s="6" t="s">
        <v>152</v>
      </c>
      <c r="Y29" s="6" t="s">
        <v>152</v>
      </c>
      <c r="Z29" s="6" t="s">
        <v>152</v>
      </c>
      <c r="AA29" s="9" t="s">
        <v>165</v>
      </c>
      <c r="AB29" s="6" t="s">
        <v>152</v>
      </c>
      <c r="AC29" s="6" t="s">
        <v>152</v>
      </c>
      <c r="AD29" s="6" t="s">
        <v>152</v>
      </c>
      <c r="AE29" s="6" t="s">
        <v>152</v>
      </c>
      <c r="AF29" s="6" t="s">
        <v>152</v>
      </c>
      <c r="AG29" s="6" t="s">
        <v>152</v>
      </c>
      <c r="AH29" s="6" t="s">
        <v>152</v>
      </c>
      <c r="AI29" s="6" t="s">
        <v>152</v>
      </c>
      <c r="AJ29" s="6" t="s">
        <v>152</v>
      </c>
      <c r="AK29" s="6" t="s">
        <v>152</v>
      </c>
      <c r="AL29" s="6" t="s">
        <v>152</v>
      </c>
      <c r="AM29" s="6" t="s">
        <v>152</v>
      </c>
      <c r="AN29" s="6" t="s">
        <v>152</v>
      </c>
      <c r="AO29" s="6" t="s">
        <v>152</v>
      </c>
      <c r="AP29" s="6" t="s">
        <v>152</v>
      </c>
      <c r="AQ29" s="6" t="s">
        <v>152</v>
      </c>
      <c r="AR29" s="6" t="s">
        <v>152</v>
      </c>
    </row>
    <row r="30" spans="1:44" x14ac:dyDescent="0.2">
      <c r="A30" s="1" t="str">
        <f ca="1">IFERROR(__xludf.DUMMYFUNCTION("""COMPUTED_VALUE"""),"Dark Phoenix")</f>
        <v>Dark Phoenix</v>
      </c>
      <c r="B30" s="6" t="s">
        <v>152</v>
      </c>
      <c r="C30" s="6" t="s">
        <v>152</v>
      </c>
      <c r="D30" s="6" t="s">
        <v>152</v>
      </c>
      <c r="E30" s="6" t="s">
        <v>152</v>
      </c>
      <c r="F30" s="6" t="s">
        <v>152</v>
      </c>
      <c r="G30" s="6" t="s">
        <v>152</v>
      </c>
      <c r="H30" s="6" t="s">
        <v>152</v>
      </c>
      <c r="I30" s="6" t="s">
        <v>152</v>
      </c>
      <c r="J30" s="6" t="s">
        <v>152</v>
      </c>
      <c r="K30" s="6" t="s">
        <v>152</v>
      </c>
      <c r="L30" s="6" t="s">
        <v>152</v>
      </c>
      <c r="M30" s="6" t="s">
        <v>152</v>
      </c>
      <c r="N30" s="6" t="s">
        <v>152</v>
      </c>
      <c r="O30" s="6" t="s">
        <v>152</v>
      </c>
      <c r="P30" s="6" t="s">
        <v>152</v>
      </c>
      <c r="Q30" s="6" t="s">
        <v>152</v>
      </c>
      <c r="R30" s="6" t="s">
        <v>152</v>
      </c>
      <c r="S30" s="6" t="s">
        <v>152</v>
      </c>
      <c r="T30" s="9" t="s">
        <v>165</v>
      </c>
      <c r="U30" s="6" t="s">
        <v>152</v>
      </c>
      <c r="V30" s="6" t="s">
        <v>152</v>
      </c>
      <c r="W30" s="6" t="s">
        <v>152</v>
      </c>
      <c r="X30" s="6" t="s">
        <v>152</v>
      </c>
      <c r="Y30" s="9" t="s">
        <v>165</v>
      </c>
      <c r="Z30" s="6" t="s">
        <v>152</v>
      </c>
      <c r="AA30" s="6" t="s">
        <v>152</v>
      </c>
      <c r="AB30" s="6" t="s">
        <v>152</v>
      </c>
      <c r="AC30" s="6" t="s">
        <v>152</v>
      </c>
      <c r="AD30" s="9" t="s">
        <v>165</v>
      </c>
      <c r="AE30" s="6" t="s">
        <v>152</v>
      </c>
      <c r="AF30" s="6" t="s">
        <v>152</v>
      </c>
      <c r="AG30" s="6" t="s">
        <v>152</v>
      </c>
      <c r="AH30" s="6" t="s">
        <v>152</v>
      </c>
      <c r="AI30" s="6" t="s">
        <v>152</v>
      </c>
      <c r="AJ30" s="6" t="s">
        <v>152</v>
      </c>
      <c r="AK30" s="6" t="s">
        <v>152</v>
      </c>
      <c r="AL30" s="6" t="s">
        <v>152</v>
      </c>
      <c r="AM30" s="6" t="s">
        <v>152</v>
      </c>
      <c r="AN30" s="6" t="s">
        <v>152</v>
      </c>
      <c r="AO30" s="6" t="s">
        <v>152</v>
      </c>
      <c r="AP30" s="6" t="s">
        <v>152</v>
      </c>
      <c r="AQ30" s="6" t="s">
        <v>152</v>
      </c>
      <c r="AR30" s="6" t="s">
        <v>152</v>
      </c>
    </row>
    <row r="31" spans="1:44" x14ac:dyDescent="0.2">
      <c r="A31" s="1" t="str">
        <f ca="1">IFERROR(__xludf.DUMMYFUNCTION("""COMPUTED_VALUE"""),"Darkhawk")</f>
        <v>Darkhawk</v>
      </c>
      <c r="B31" s="6" t="s">
        <v>152</v>
      </c>
      <c r="C31" s="6" t="s">
        <v>152</v>
      </c>
      <c r="D31" s="6" t="s">
        <v>152</v>
      </c>
      <c r="E31" s="6" t="s">
        <v>152</v>
      </c>
      <c r="F31" s="9" t="s">
        <v>165</v>
      </c>
      <c r="G31" s="6" t="s">
        <v>152</v>
      </c>
      <c r="H31" s="6" t="s">
        <v>152</v>
      </c>
      <c r="I31" s="6" t="s">
        <v>152</v>
      </c>
      <c r="J31" s="6" t="s">
        <v>152</v>
      </c>
      <c r="K31" s="6" t="s">
        <v>152</v>
      </c>
      <c r="L31" s="6" t="s">
        <v>152</v>
      </c>
      <c r="M31" s="6" t="s">
        <v>152</v>
      </c>
      <c r="N31" s="6" t="s">
        <v>152</v>
      </c>
      <c r="O31" s="6" t="s">
        <v>152</v>
      </c>
      <c r="P31" s="6" t="s">
        <v>152</v>
      </c>
      <c r="Q31" s="6" t="s">
        <v>152</v>
      </c>
      <c r="R31" s="6" t="s">
        <v>152</v>
      </c>
      <c r="S31" s="6" t="s">
        <v>152</v>
      </c>
      <c r="T31" s="6" t="s">
        <v>152</v>
      </c>
      <c r="U31" s="6" t="s">
        <v>152</v>
      </c>
      <c r="V31" s="6" t="s">
        <v>152</v>
      </c>
      <c r="W31" s="6" t="s">
        <v>152</v>
      </c>
      <c r="X31" s="6" t="s">
        <v>152</v>
      </c>
      <c r="Y31" s="6" t="s">
        <v>152</v>
      </c>
      <c r="Z31" s="6" t="s">
        <v>152</v>
      </c>
      <c r="AA31" s="6" t="s">
        <v>152</v>
      </c>
      <c r="AB31" s="9" t="s">
        <v>165</v>
      </c>
      <c r="AC31" s="6" t="s">
        <v>152</v>
      </c>
      <c r="AD31" s="6" t="s">
        <v>152</v>
      </c>
      <c r="AE31" s="6" t="s">
        <v>152</v>
      </c>
      <c r="AF31" s="6" t="s">
        <v>152</v>
      </c>
      <c r="AG31" s="6" t="s">
        <v>152</v>
      </c>
      <c r="AH31" s="6" t="s">
        <v>152</v>
      </c>
      <c r="AI31" s="6" t="s">
        <v>152</v>
      </c>
      <c r="AJ31" s="6" t="s">
        <v>152</v>
      </c>
      <c r="AK31" s="6" t="s">
        <v>152</v>
      </c>
      <c r="AL31" s="6" t="s">
        <v>152</v>
      </c>
      <c r="AM31" s="6" t="s">
        <v>152</v>
      </c>
      <c r="AN31" s="6" t="s">
        <v>152</v>
      </c>
      <c r="AO31" s="6" t="s">
        <v>152</v>
      </c>
      <c r="AP31" s="6" t="s">
        <v>152</v>
      </c>
      <c r="AQ31" s="6" t="s">
        <v>152</v>
      </c>
      <c r="AR31" s="6" t="s">
        <v>152</v>
      </c>
    </row>
    <row r="32" spans="1:44" x14ac:dyDescent="0.2">
      <c r="A32" s="1" t="str">
        <f ca="1">IFERROR(__xludf.DUMMYFUNCTION("""COMPUTED_VALUE"""),"Dazzler")</f>
        <v>Dazzler</v>
      </c>
      <c r="B32" s="6" t="s">
        <v>152</v>
      </c>
      <c r="C32" s="6" t="s">
        <v>152</v>
      </c>
      <c r="D32" s="6" t="s">
        <v>152</v>
      </c>
      <c r="E32" s="9" t="s">
        <v>165</v>
      </c>
      <c r="F32" s="6" t="s">
        <v>152</v>
      </c>
      <c r="G32" s="6" t="s">
        <v>152</v>
      </c>
      <c r="H32" s="6" t="s">
        <v>152</v>
      </c>
      <c r="I32" s="6" t="s">
        <v>152</v>
      </c>
      <c r="J32" s="6" t="s">
        <v>152</v>
      </c>
      <c r="K32" s="6" t="s">
        <v>152</v>
      </c>
      <c r="L32" s="6" t="s">
        <v>152</v>
      </c>
      <c r="M32" s="6" t="s">
        <v>152</v>
      </c>
      <c r="N32" s="6" t="s">
        <v>152</v>
      </c>
      <c r="O32" s="6" t="s">
        <v>152</v>
      </c>
      <c r="P32" s="6" t="s">
        <v>152</v>
      </c>
      <c r="Q32" s="6" t="s">
        <v>152</v>
      </c>
      <c r="R32" s="6" t="s">
        <v>152</v>
      </c>
      <c r="S32" s="6" t="s">
        <v>152</v>
      </c>
      <c r="T32" s="9" t="s">
        <v>165</v>
      </c>
      <c r="U32" s="6" t="s">
        <v>152</v>
      </c>
      <c r="V32" s="6" t="s">
        <v>152</v>
      </c>
      <c r="W32" s="6" t="s">
        <v>152</v>
      </c>
      <c r="X32" s="6" t="s">
        <v>152</v>
      </c>
      <c r="Y32" s="6" t="s">
        <v>152</v>
      </c>
      <c r="Z32" s="9" t="s">
        <v>165</v>
      </c>
      <c r="AA32" s="6" t="s">
        <v>152</v>
      </c>
      <c r="AB32" s="6" t="s">
        <v>152</v>
      </c>
      <c r="AC32" s="6" t="s">
        <v>152</v>
      </c>
      <c r="AD32" s="6" t="s">
        <v>152</v>
      </c>
      <c r="AE32" s="6" t="s">
        <v>152</v>
      </c>
      <c r="AF32" s="6" t="s">
        <v>152</v>
      </c>
      <c r="AG32" s="6" t="s">
        <v>152</v>
      </c>
      <c r="AH32" s="6" t="s">
        <v>152</v>
      </c>
      <c r="AI32" s="6" t="s">
        <v>152</v>
      </c>
      <c r="AJ32" s="6" t="s">
        <v>152</v>
      </c>
      <c r="AK32" s="6" t="s">
        <v>152</v>
      </c>
      <c r="AL32" s="6" t="s">
        <v>152</v>
      </c>
      <c r="AM32" s="6" t="s">
        <v>152</v>
      </c>
      <c r="AN32" s="6" t="s">
        <v>152</v>
      </c>
      <c r="AO32" s="6" t="s">
        <v>152</v>
      </c>
      <c r="AP32" s="6" t="s">
        <v>152</v>
      </c>
      <c r="AQ32" s="6" t="s">
        <v>152</v>
      </c>
      <c r="AR32" s="6" t="s">
        <v>152</v>
      </c>
    </row>
    <row r="33" spans="1:44" x14ac:dyDescent="0.2">
      <c r="A33" s="1" t="str">
        <f ca="1">IFERROR(__xludf.DUMMYFUNCTION("""COMPUTED_VALUE"""),"Diablo")</f>
        <v>Diablo</v>
      </c>
      <c r="B33" s="6" t="s">
        <v>152</v>
      </c>
      <c r="C33" s="9" t="s">
        <v>165</v>
      </c>
      <c r="D33" s="6" t="s">
        <v>152</v>
      </c>
      <c r="E33" s="6" t="s">
        <v>152</v>
      </c>
      <c r="F33" s="6" t="s">
        <v>152</v>
      </c>
      <c r="G33" s="6" t="s">
        <v>152</v>
      </c>
      <c r="H33" s="6" t="s">
        <v>152</v>
      </c>
      <c r="I33" s="6" t="s">
        <v>152</v>
      </c>
      <c r="J33" s="6" t="s">
        <v>152</v>
      </c>
      <c r="K33" s="6" t="s">
        <v>152</v>
      </c>
      <c r="L33" s="6" t="s">
        <v>152</v>
      </c>
      <c r="M33" s="6" t="s">
        <v>152</v>
      </c>
      <c r="N33" s="6" t="s">
        <v>152</v>
      </c>
      <c r="O33" s="6" t="s">
        <v>152</v>
      </c>
      <c r="P33" s="6" t="s">
        <v>152</v>
      </c>
      <c r="Q33" s="6" t="s">
        <v>152</v>
      </c>
      <c r="R33" s="6" t="s">
        <v>152</v>
      </c>
      <c r="S33" s="6" t="s">
        <v>152</v>
      </c>
      <c r="T33" s="6" t="s">
        <v>152</v>
      </c>
      <c r="U33" s="6" t="s">
        <v>152</v>
      </c>
      <c r="V33" s="6" t="s">
        <v>152</v>
      </c>
      <c r="W33" s="6" t="s">
        <v>152</v>
      </c>
      <c r="X33" s="6" t="s">
        <v>152</v>
      </c>
      <c r="Y33" s="6" t="s">
        <v>152</v>
      </c>
      <c r="Z33" s="6" t="s">
        <v>152</v>
      </c>
      <c r="AA33" s="6" t="s">
        <v>152</v>
      </c>
      <c r="AB33" s="6" t="s">
        <v>152</v>
      </c>
      <c r="AC33" s="6" t="s">
        <v>152</v>
      </c>
      <c r="AD33" s="6" t="s">
        <v>152</v>
      </c>
      <c r="AE33" s="6" t="s">
        <v>152</v>
      </c>
      <c r="AF33" s="6" t="s">
        <v>152</v>
      </c>
      <c r="AG33" s="6" t="s">
        <v>152</v>
      </c>
      <c r="AH33" s="6" t="s">
        <v>152</v>
      </c>
      <c r="AI33" s="6" t="s">
        <v>152</v>
      </c>
      <c r="AJ33" s="6" t="s">
        <v>152</v>
      </c>
      <c r="AK33" s="6" t="s">
        <v>152</v>
      </c>
      <c r="AL33" s="6" t="s">
        <v>152</v>
      </c>
      <c r="AM33" s="6" t="s">
        <v>152</v>
      </c>
      <c r="AN33" s="6" t="s">
        <v>152</v>
      </c>
      <c r="AO33" s="6" t="s">
        <v>152</v>
      </c>
      <c r="AP33" s="9" t="s">
        <v>165</v>
      </c>
      <c r="AQ33" s="6" t="s">
        <v>152</v>
      </c>
      <c r="AR33" s="6" t="s">
        <v>152</v>
      </c>
    </row>
    <row r="34" spans="1:44" x14ac:dyDescent="0.2">
      <c r="A34" s="1" t="str">
        <f ca="1">IFERROR(__xludf.DUMMYFUNCTION("""COMPUTED_VALUE"""),"Doctor Bong")</f>
        <v>Doctor Bong</v>
      </c>
      <c r="B34" s="6" t="s">
        <v>152</v>
      </c>
      <c r="C34" s="6" t="s">
        <v>152</v>
      </c>
      <c r="D34" s="6" t="s">
        <v>152</v>
      </c>
      <c r="E34" s="6" t="s">
        <v>152</v>
      </c>
      <c r="F34" s="6" t="s">
        <v>152</v>
      </c>
      <c r="G34" s="6" t="s">
        <v>152</v>
      </c>
      <c r="H34" s="6" t="s">
        <v>152</v>
      </c>
      <c r="I34" s="6" t="s">
        <v>152</v>
      </c>
      <c r="J34" s="6" t="s">
        <v>152</v>
      </c>
      <c r="K34" s="6" t="s">
        <v>152</v>
      </c>
      <c r="L34" s="6" t="s">
        <v>152</v>
      </c>
      <c r="M34" s="6" t="s">
        <v>152</v>
      </c>
      <c r="N34" s="6" t="s">
        <v>152</v>
      </c>
      <c r="O34" s="6" t="s">
        <v>152</v>
      </c>
      <c r="P34" s="6" t="s">
        <v>152</v>
      </c>
      <c r="Q34" s="6" t="s">
        <v>152</v>
      </c>
      <c r="R34" s="6" t="s">
        <v>152</v>
      </c>
      <c r="S34" s="6" t="s">
        <v>152</v>
      </c>
      <c r="T34" s="6" t="s">
        <v>152</v>
      </c>
      <c r="U34" s="6" t="s">
        <v>152</v>
      </c>
      <c r="V34" s="6" t="s">
        <v>152</v>
      </c>
      <c r="W34" s="6" t="s">
        <v>152</v>
      </c>
      <c r="X34" s="6" t="s">
        <v>152</v>
      </c>
      <c r="Y34" s="6" t="s">
        <v>152</v>
      </c>
      <c r="Z34" s="9" t="s">
        <v>165</v>
      </c>
      <c r="AA34" s="6" t="s">
        <v>152</v>
      </c>
      <c r="AB34" s="6" t="s">
        <v>152</v>
      </c>
      <c r="AC34" s="6" t="s">
        <v>152</v>
      </c>
      <c r="AD34" s="6" t="s">
        <v>152</v>
      </c>
      <c r="AE34" s="6" t="s">
        <v>152</v>
      </c>
      <c r="AF34" s="6" t="s">
        <v>152</v>
      </c>
      <c r="AG34" s="9" t="s">
        <v>165</v>
      </c>
      <c r="AH34" s="6" t="s">
        <v>152</v>
      </c>
      <c r="AI34" s="6" t="s">
        <v>152</v>
      </c>
      <c r="AJ34" s="6" t="s">
        <v>152</v>
      </c>
      <c r="AK34" s="6" t="s">
        <v>152</v>
      </c>
      <c r="AL34" s="6" t="s">
        <v>152</v>
      </c>
      <c r="AM34" s="6" t="s">
        <v>152</v>
      </c>
      <c r="AN34" s="6" t="s">
        <v>152</v>
      </c>
      <c r="AO34" s="6" t="s">
        <v>152</v>
      </c>
      <c r="AP34" s="6" t="s">
        <v>152</v>
      </c>
      <c r="AQ34" s="6" t="s">
        <v>152</v>
      </c>
      <c r="AR34" s="6" t="s">
        <v>152</v>
      </c>
    </row>
    <row r="35" spans="1:44" x14ac:dyDescent="0.2">
      <c r="A35" s="1" t="str">
        <f ca="1">IFERROR(__xludf.DUMMYFUNCTION("""COMPUTED_VALUE"""),"Doctor Doom")</f>
        <v>Doctor Doom</v>
      </c>
      <c r="B35" s="6" t="s">
        <v>152</v>
      </c>
      <c r="C35" s="9" t="s">
        <v>165</v>
      </c>
      <c r="D35" s="9" t="s">
        <v>165</v>
      </c>
      <c r="E35" s="6" t="s">
        <v>152</v>
      </c>
      <c r="F35" s="6" t="s">
        <v>152</v>
      </c>
      <c r="G35" s="6" t="s">
        <v>152</v>
      </c>
      <c r="H35" s="6" t="s">
        <v>152</v>
      </c>
      <c r="I35" s="6" t="s">
        <v>152</v>
      </c>
      <c r="J35" s="6" t="s">
        <v>152</v>
      </c>
      <c r="K35" s="6" t="s">
        <v>152</v>
      </c>
      <c r="L35" s="6" t="s">
        <v>152</v>
      </c>
      <c r="M35" s="6" t="s">
        <v>152</v>
      </c>
      <c r="N35" s="6" t="s">
        <v>152</v>
      </c>
      <c r="O35" s="6" t="s">
        <v>152</v>
      </c>
      <c r="P35" s="6" t="s">
        <v>152</v>
      </c>
      <c r="Q35" s="6" t="s">
        <v>152</v>
      </c>
      <c r="R35" s="6" t="s">
        <v>152</v>
      </c>
      <c r="S35" s="6" t="s">
        <v>152</v>
      </c>
      <c r="T35" s="6" t="s">
        <v>152</v>
      </c>
      <c r="U35" s="6" t="s">
        <v>152</v>
      </c>
      <c r="V35" s="6" t="s">
        <v>152</v>
      </c>
      <c r="W35" s="6" t="s">
        <v>152</v>
      </c>
      <c r="X35" s="6" t="s">
        <v>152</v>
      </c>
      <c r="Y35" s="6" t="s">
        <v>152</v>
      </c>
      <c r="Z35" s="6" t="s">
        <v>152</v>
      </c>
      <c r="AA35" s="6" t="s">
        <v>152</v>
      </c>
      <c r="AB35" s="6" t="s">
        <v>152</v>
      </c>
      <c r="AC35" s="6" t="s">
        <v>152</v>
      </c>
      <c r="AD35" s="6" t="s">
        <v>152</v>
      </c>
      <c r="AE35" s="6" t="s">
        <v>152</v>
      </c>
      <c r="AF35" s="6" t="s">
        <v>152</v>
      </c>
      <c r="AG35" s="6" t="s">
        <v>152</v>
      </c>
      <c r="AH35" s="6" t="s">
        <v>152</v>
      </c>
      <c r="AI35" s="6" t="s">
        <v>152</v>
      </c>
      <c r="AJ35" s="6" t="s">
        <v>152</v>
      </c>
      <c r="AK35" s="9" t="s">
        <v>165</v>
      </c>
      <c r="AL35" s="6" t="s">
        <v>152</v>
      </c>
      <c r="AM35" s="6" t="s">
        <v>152</v>
      </c>
      <c r="AN35" s="6" t="s">
        <v>152</v>
      </c>
      <c r="AO35" s="6" t="s">
        <v>152</v>
      </c>
      <c r="AP35" s="6" t="s">
        <v>152</v>
      </c>
      <c r="AQ35" s="6" t="s">
        <v>152</v>
      </c>
      <c r="AR35" s="6" t="s">
        <v>152</v>
      </c>
    </row>
    <row r="36" spans="1:44" x14ac:dyDescent="0.2">
      <c r="A36" s="1" t="str">
        <f ca="1">IFERROR(__xludf.DUMMYFUNCTION("""COMPUTED_VALUE"""),"Doctor Strange")</f>
        <v>Doctor Strange</v>
      </c>
      <c r="B36" s="6" t="s">
        <v>152</v>
      </c>
      <c r="C36" s="6" t="s">
        <v>152</v>
      </c>
      <c r="D36" s="6" t="s">
        <v>152</v>
      </c>
      <c r="E36" s="6" t="s">
        <v>152</v>
      </c>
      <c r="F36" s="6" t="s">
        <v>152</v>
      </c>
      <c r="G36" s="6" t="s">
        <v>152</v>
      </c>
      <c r="H36" s="9" t="s">
        <v>165</v>
      </c>
      <c r="I36" s="6" t="s">
        <v>152</v>
      </c>
      <c r="J36" s="6" t="s">
        <v>152</v>
      </c>
      <c r="K36" s="6" t="s">
        <v>152</v>
      </c>
      <c r="L36" s="6" t="s">
        <v>152</v>
      </c>
      <c r="M36" s="6" t="s">
        <v>152</v>
      </c>
      <c r="N36" s="6" t="s">
        <v>152</v>
      </c>
      <c r="O36" s="6" t="s">
        <v>152</v>
      </c>
      <c r="P36" s="6" t="s">
        <v>152</v>
      </c>
      <c r="Q36" s="6" t="s">
        <v>152</v>
      </c>
      <c r="R36" s="6" t="s">
        <v>152</v>
      </c>
      <c r="S36" s="6" t="s">
        <v>152</v>
      </c>
      <c r="T36" s="9" t="s">
        <v>165</v>
      </c>
      <c r="U36" s="6" t="s">
        <v>152</v>
      </c>
      <c r="V36" s="6" t="s">
        <v>152</v>
      </c>
      <c r="W36" s="6" t="s">
        <v>152</v>
      </c>
      <c r="X36" s="6" t="s">
        <v>152</v>
      </c>
      <c r="Y36" s="6" t="s">
        <v>152</v>
      </c>
      <c r="Z36" s="6" t="s">
        <v>152</v>
      </c>
      <c r="AA36" s="6" t="s">
        <v>152</v>
      </c>
      <c r="AB36" s="6" t="s">
        <v>152</v>
      </c>
      <c r="AC36" s="6" t="s">
        <v>152</v>
      </c>
      <c r="AD36" s="6" t="s">
        <v>152</v>
      </c>
      <c r="AE36" s="6" t="s">
        <v>152</v>
      </c>
      <c r="AF36" s="6" t="s">
        <v>152</v>
      </c>
      <c r="AG36" s="6" t="s">
        <v>152</v>
      </c>
      <c r="AH36" s="6" t="s">
        <v>152</v>
      </c>
      <c r="AI36" s="6" t="s">
        <v>152</v>
      </c>
      <c r="AJ36" s="6" t="s">
        <v>152</v>
      </c>
      <c r="AK36" s="6" t="s">
        <v>152</v>
      </c>
      <c r="AL36" s="6" t="s">
        <v>152</v>
      </c>
      <c r="AM36" s="6" t="s">
        <v>152</v>
      </c>
      <c r="AN36" s="6" t="s">
        <v>152</v>
      </c>
      <c r="AO36" s="6" t="s">
        <v>152</v>
      </c>
      <c r="AP36" s="6" t="s">
        <v>152</v>
      </c>
      <c r="AQ36" s="6" t="s">
        <v>152</v>
      </c>
      <c r="AR36" s="6" t="s">
        <v>152</v>
      </c>
    </row>
    <row r="37" spans="1:44" x14ac:dyDescent="0.2">
      <c r="A37" s="1" t="str">
        <f ca="1">IFERROR(__xludf.DUMMYFUNCTION("""COMPUTED_VALUE"""),"Doctor Voodoo")</f>
        <v>Doctor Voodoo</v>
      </c>
      <c r="B37" s="6" t="s">
        <v>152</v>
      </c>
      <c r="C37" s="6" t="s">
        <v>152</v>
      </c>
      <c r="D37" s="6" t="s">
        <v>152</v>
      </c>
      <c r="E37" s="6" t="s">
        <v>152</v>
      </c>
      <c r="F37" s="6" t="s">
        <v>152</v>
      </c>
      <c r="G37" s="6" t="s">
        <v>152</v>
      </c>
      <c r="H37" s="6" t="s">
        <v>152</v>
      </c>
      <c r="I37" s="6" t="s">
        <v>152</v>
      </c>
      <c r="J37" s="6" t="s">
        <v>152</v>
      </c>
      <c r="K37" s="6" t="s">
        <v>152</v>
      </c>
      <c r="L37" s="6" t="s">
        <v>152</v>
      </c>
      <c r="M37" s="6" t="s">
        <v>152</v>
      </c>
      <c r="N37" s="6" t="s">
        <v>152</v>
      </c>
      <c r="O37" s="6" t="s">
        <v>152</v>
      </c>
      <c r="P37" s="9" t="s">
        <v>165</v>
      </c>
      <c r="Q37" s="6" t="s">
        <v>152</v>
      </c>
      <c r="R37" s="6" t="s">
        <v>152</v>
      </c>
      <c r="S37" s="6" t="s">
        <v>152</v>
      </c>
      <c r="T37" s="6" t="s">
        <v>152</v>
      </c>
      <c r="U37" s="6" t="s">
        <v>152</v>
      </c>
      <c r="V37" s="6" t="s">
        <v>152</v>
      </c>
      <c r="W37" s="6" t="s">
        <v>152</v>
      </c>
      <c r="X37" s="6" t="s">
        <v>152</v>
      </c>
      <c r="Y37" s="6" t="s">
        <v>152</v>
      </c>
      <c r="Z37" s="9" t="s">
        <v>165</v>
      </c>
      <c r="AA37" s="6" t="s">
        <v>152</v>
      </c>
      <c r="AB37" s="6" t="s">
        <v>152</v>
      </c>
      <c r="AC37" s="6" t="s">
        <v>152</v>
      </c>
      <c r="AD37" s="6" t="s">
        <v>152</v>
      </c>
      <c r="AE37" s="6" t="s">
        <v>152</v>
      </c>
      <c r="AF37" s="6" t="s">
        <v>152</v>
      </c>
      <c r="AG37" s="6" t="s">
        <v>152</v>
      </c>
      <c r="AH37" s="6" t="s">
        <v>152</v>
      </c>
      <c r="AI37" s="6" t="s">
        <v>152</v>
      </c>
      <c r="AJ37" s="6" t="s">
        <v>152</v>
      </c>
      <c r="AK37" s="6" t="s">
        <v>152</v>
      </c>
      <c r="AL37" s="6" t="s">
        <v>152</v>
      </c>
      <c r="AM37" s="6" t="s">
        <v>152</v>
      </c>
      <c r="AN37" s="6" t="s">
        <v>152</v>
      </c>
      <c r="AO37" s="6" t="s">
        <v>152</v>
      </c>
      <c r="AP37" s="6" t="s">
        <v>152</v>
      </c>
      <c r="AQ37" s="6" t="s">
        <v>152</v>
      </c>
      <c r="AR37" s="6" t="s">
        <v>152</v>
      </c>
    </row>
    <row r="38" spans="1:44" x14ac:dyDescent="0.2">
      <c r="A38" s="1" t="str">
        <f ca="1">IFERROR(__xludf.DUMMYFUNCTION("""COMPUTED_VALUE"""),"Dormammu")</f>
        <v>Dormammu</v>
      </c>
      <c r="B38" s="6" t="s">
        <v>152</v>
      </c>
      <c r="C38" s="6" t="s">
        <v>152</v>
      </c>
      <c r="D38" s="6" t="s">
        <v>152</v>
      </c>
      <c r="E38" s="6" t="s">
        <v>152</v>
      </c>
      <c r="F38" s="9" t="s">
        <v>165</v>
      </c>
      <c r="G38" s="6" t="s">
        <v>152</v>
      </c>
      <c r="H38" s="9" t="s">
        <v>165</v>
      </c>
      <c r="I38" s="6" t="s">
        <v>152</v>
      </c>
      <c r="J38" s="6" t="s">
        <v>152</v>
      </c>
      <c r="K38" s="6" t="s">
        <v>152</v>
      </c>
      <c r="L38" s="6" t="s">
        <v>152</v>
      </c>
      <c r="M38" s="6" t="s">
        <v>152</v>
      </c>
      <c r="N38" s="6" t="s">
        <v>152</v>
      </c>
      <c r="O38" s="6" t="s">
        <v>152</v>
      </c>
      <c r="P38" s="6" t="s">
        <v>152</v>
      </c>
      <c r="Q38" s="6" t="s">
        <v>152</v>
      </c>
      <c r="R38" s="6" t="s">
        <v>152</v>
      </c>
      <c r="S38" s="6" t="s">
        <v>152</v>
      </c>
      <c r="T38" s="9" t="s">
        <v>165</v>
      </c>
      <c r="U38" s="6" t="s">
        <v>152</v>
      </c>
      <c r="V38" s="6" t="s">
        <v>152</v>
      </c>
      <c r="W38" s="6" t="s">
        <v>152</v>
      </c>
      <c r="X38" s="6" t="s">
        <v>152</v>
      </c>
      <c r="Y38" s="6" t="s">
        <v>152</v>
      </c>
      <c r="Z38" s="6" t="s">
        <v>152</v>
      </c>
      <c r="AA38" s="6" t="s">
        <v>152</v>
      </c>
      <c r="AB38" s="9" t="s">
        <v>165</v>
      </c>
      <c r="AC38" s="6" t="s">
        <v>152</v>
      </c>
      <c r="AD38" s="6" t="s">
        <v>152</v>
      </c>
      <c r="AE38" s="6" t="s">
        <v>152</v>
      </c>
      <c r="AF38" s="6" t="s">
        <v>152</v>
      </c>
      <c r="AG38" s="6" t="s">
        <v>152</v>
      </c>
      <c r="AH38" s="6" t="s">
        <v>152</v>
      </c>
      <c r="AI38" s="6" t="s">
        <v>152</v>
      </c>
      <c r="AJ38" s="6" t="s">
        <v>152</v>
      </c>
      <c r="AK38" s="6" t="s">
        <v>152</v>
      </c>
      <c r="AL38" s="6" t="s">
        <v>152</v>
      </c>
      <c r="AM38" s="6" t="s">
        <v>152</v>
      </c>
      <c r="AN38" s="6" t="s">
        <v>152</v>
      </c>
      <c r="AO38" s="6" t="s">
        <v>152</v>
      </c>
      <c r="AP38" s="6" t="s">
        <v>152</v>
      </c>
      <c r="AQ38" s="6" t="s">
        <v>152</v>
      </c>
      <c r="AR38" s="6" t="s">
        <v>152</v>
      </c>
    </row>
    <row r="39" spans="1:44" x14ac:dyDescent="0.2">
      <c r="A39" s="1" t="str">
        <f ca="1">IFERROR(__xludf.DUMMYFUNCTION("""COMPUTED_VALUE"""),"Dracula")</f>
        <v>Dracula</v>
      </c>
      <c r="B39" s="6" t="s">
        <v>152</v>
      </c>
      <c r="C39" s="6" t="s">
        <v>152</v>
      </c>
      <c r="D39" s="6" t="s">
        <v>152</v>
      </c>
      <c r="E39" s="6" t="s">
        <v>152</v>
      </c>
      <c r="F39" s="6" t="s">
        <v>152</v>
      </c>
      <c r="G39" s="6" t="s">
        <v>152</v>
      </c>
      <c r="H39" s="6" t="s">
        <v>152</v>
      </c>
      <c r="I39" s="6" t="s">
        <v>152</v>
      </c>
      <c r="J39" s="6" t="s">
        <v>152</v>
      </c>
      <c r="K39" s="6" t="s">
        <v>152</v>
      </c>
      <c r="L39" s="6" t="s">
        <v>152</v>
      </c>
      <c r="M39" s="6" t="s">
        <v>152</v>
      </c>
      <c r="N39" s="6" t="s">
        <v>152</v>
      </c>
      <c r="O39" s="6" t="s">
        <v>152</v>
      </c>
      <c r="P39" s="6" t="s">
        <v>152</v>
      </c>
      <c r="Q39" s="6" t="s">
        <v>152</v>
      </c>
      <c r="R39" s="6" t="s">
        <v>152</v>
      </c>
      <c r="S39" s="9" t="s">
        <v>165</v>
      </c>
      <c r="T39" s="6" t="s">
        <v>152</v>
      </c>
      <c r="U39" s="6" t="s">
        <v>152</v>
      </c>
      <c r="V39" s="6" t="s">
        <v>152</v>
      </c>
      <c r="W39" s="6" t="s">
        <v>152</v>
      </c>
      <c r="X39" s="6" t="s">
        <v>152</v>
      </c>
      <c r="Y39" s="6" t="s">
        <v>152</v>
      </c>
      <c r="Z39" s="6" t="s">
        <v>152</v>
      </c>
      <c r="AA39" s="6" t="s">
        <v>152</v>
      </c>
      <c r="AB39" s="6" t="s">
        <v>152</v>
      </c>
      <c r="AC39" s="6" t="s">
        <v>152</v>
      </c>
      <c r="AD39" s="6" t="s">
        <v>152</v>
      </c>
      <c r="AE39" s="6" t="s">
        <v>152</v>
      </c>
      <c r="AF39" s="6" t="s">
        <v>152</v>
      </c>
      <c r="AG39" s="6" t="s">
        <v>152</v>
      </c>
      <c r="AH39" s="6" t="s">
        <v>152</v>
      </c>
      <c r="AI39" s="6" t="s">
        <v>152</v>
      </c>
      <c r="AJ39" s="6" t="s">
        <v>152</v>
      </c>
      <c r="AK39" s="6" t="s">
        <v>152</v>
      </c>
      <c r="AL39" s="6" t="s">
        <v>152</v>
      </c>
      <c r="AM39" s="6" t="s">
        <v>152</v>
      </c>
      <c r="AN39" s="6" t="s">
        <v>152</v>
      </c>
      <c r="AO39" s="6" t="s">
        <v>152</v>
      </c>
      <c r="AP39" s="6" t="s">
        <v>152</v>
      </c>
      <c r="AQ39" s="6" t="s">
        <v>152</v>
      </c>
      <c r="AR39" s="6" t="s">
        <v>152</v>
      </c>
    </row>
    <row r="40" spans="1:44" x14ac:dyDescent="0.2">
      <c r="A40" s="1" t="str">
        <f ca="1">IFERROR(__xludf.DUMMYFUNCTION("""COMPUTED_VALUE"""),"Dragon Man")</f>
        <v>Dragon Man</v>
      </c>
      <c r="B40" s="6" t="s">
        <v>152</v>
      </c>
      <c r="C40" s="6" t="s">
        <v>152</v>
      </c>
      <c r="D40" s="9" t="s">
        <v>165</v>
      </c>
      <c r="E40" s="6" t="s">
        <v>152</v>
      </c>
      <c r="F40" s="9" t="s">
        <v>165</v>
      </c>
      <c r="G40" s="6" t="s">
        <v>152</v>
      </c>
      <c r="H40" s="6" t="s">
        <v>152</v>
      </c>
      <c r="I40" s="6" t="s">
        <v>152</v>
      </c>
      <c r="J40" s="6" t="s">
        <v>152</v>
      </c>
      <c r="K40" s="6" t="s">
        <v>152</v>
      </c>
      <c r="L40" s="6" t="s">
        <v>152</v>
      </c>
      <c r="M40" s="6" t="s">
        <v>152</v>
      </c>
      <c r="N40" s="6" t="s">
        <v>152</v>
      </c>
      <c r="O40" s="6" t="s">
        <v>152</v>
      </c>
      <c r="P40" s="6" t="s">
        <v>152</v>
      </c>
      <c r="Q40" s="6" t="s">
        <v>152</v>
      </c>
      <c r="R40" s="6" t="s">
        <v>152</v>
      </c>
      <c r="S40" s="6" t="s">
        <v>152</v>
      </c>
      <c r="T40" s="6" t="s">
        <v>152</v>
      </c>
      <c r="U40" s="6" t="s">
        <v>152</v>
      </c>
      <c r="V40" s="6" t="s">
        <v>152</v>
      </c>
      <c r="W40" s="6" t="s">
        <v>152</v>
      </c>
      <c r="X40" s="6" t="s">
        <v>152</v>
      </c>
      <c r="Y40" s="6" t="s">
        <v>152</v>
      </c>
      <c r="Z40" s="6" t="s">
        <v>152</v>
      </c>
      <c r="AA40" s="6" t="s">
        <v>152</v>
      </c>
      <c r="AB40" s="9" t="s">
        <v>165</v>
      </c>
      <c r="AC40" s="6" t="s">
        <v>152</v>
      </c>
      <c r="AD40" s="6" t="s">
        <v>152</v>
      </c>
      <c r="AE40" s="6" t="s">
        <v>152</v>
      </c>
      <c r="AF40" s="6" t="s">
        <v>152</v>
      </c>
      <c r="AG40" s="6" t="s">
        <v>152</v>
      </c>
      <c r="AH40" s="6" t="s">
        <v>152</v>
      </c>
      <c r="AI40" s="6" t="s">
        <v>152</v>
      </c>
      <c r="AJ40" s="6" t="s">
        <v>152</v>
      </c>
      <c r="AK40" s="6" t="s">
        <v>152</v>
      </c>
      <c r="AL40" s="6" t="s">
        <v>152</v>
      </c>
      <c r="AM40" s="6" t="s">
        <v>152</v>
      </c>
      <c r="AN40" s="6" t="s">
        <v>152</v>
      </c>
      <c r="AO40" s="6" t="s">
        <v>152</v>
      </c>
      <c r="AP40" s="6" t="s">
        <v>152</v>
      </c>
      <c r="AQ40" s="6" t="s">
        <v>152</v>
      </c>
      <c r="AR40" s="6" t="s">
        <v>152</v>
      </c>
    </row>
    <row r="41" spans="1:44" x14ac:dyDescent="0.2">
      <c r="A41" s="1" t="str">
        <f ca="1">IFERROR(__xludf.DUMMYFUNCTION("""COMPUTED_VALUE"""),"Dust")</f>
        <v>Dust</v>
      </c>
      <c r="B41" s="6" t="s">
        <v>152</v>
      </c>
      <c r="C41" s="6" t="s">
        <v>152</v>
      </c>
      <c r="D41" s="6" t="s">
        <v>152</v>
      </c>
      <c r="E41" s="6" t="s">
        <v>152</v>
      </c>
      <c r="F41" s="9" t="s">
        <v>165</v>
      </c>
      <c r="G41" s="6" t="s">
        <v>152</v>
      </c>
      <c r="H41" s="6" t="s">
        <v>152</v>
      </c>
      <c r="I41" s="6" t="s">
        <v>152</v>
      </c>
      <c r="J41" s="6" t="s">
        <v>152</v>
      </c>
      <c r="K41" s="6" t="s">
        <v>152</v>
      </c>
      <c r="L41" s="6" t="s">
        <v>152</v>
      </c>
      <c r="M41" s="6" t="s">
        <v>152</v>
      </c>
      <c r="N41" s="6" t="s">
        <v>152</v>
      </c>
      <c r="O41" s="6" t="s">
        <v>152</v>
      </c>
      <c r="P41" s="6" t="s">
        <v>152</v>
      </c>
      <c r="Q41" s="6" t="s">
        <v>152</v>
      </c>
      <c r="R41" s="6" t="s">
        <v>152</v>
      </c>
      <c r="S41" s="6" t="s">
        <v>152</v>
      </c>
      <c r="T41" s="6" t="s">
        <v>152</v>
      </c>
      <c r="U41" s="6" t="s">
        <v>152</v>
      </c>
      <c r="V41" s="6" t="s">
        <v>152</v>
      </c>
      <c r="W41" s="6" t="s">
        <v>152</v>
      </c>
      <c r="X41" s="6" t="s">
        <v>152</v>
      </c>
      <c r="Y41" s="6" t="s">
        <v>152</v>
      </c>
      <c r="Z41" s="6" t="s">
        <v>152</v>
      </c>
      <c r="AA41" s="6" t="s">
        <v>152</v>
      </c>
      <c r="AB41" s="9" t="s">
        <v>165</v>
      </c>
      <c r="AC41" s="6" t="s">
        <v>152</v>
      </c>
      <c r="AD41" s="6" t="s">
        <v>152</v>
      </c>
      <c r="AE41" s="6" t="s">
        <v>152</v>
      </c>
      <c r="AF41" s="6" t="s">
        <v>152</v>
      </c>
      <c r="AG41" s="6" t="s">
        <v>152</v>
      </c>
      <c r="AH41" s="6" t="s">
        <v>152</v>
      </c>
      <c r="AI41" s="6" t="s">
        <v>152</v>
      </c>
      <c r="AJ41" s="6" t="s">
        <v>152</v>
      </c>
      <c r="AK41" s="9" t="s">
        <v>165</v>
      </c>
      <c r="AL41" s="6" t="s">
        <v>152</v>
      </c>
      <c r="AM41" s="6" t="s">
        <v>152</v>
      </c>
      <c r="AN41" s="6" t="s">
        <v>152</v>
      </c>
      <c r="AO41" s="6" t="s">
        <v>152</v>
      </c>
      <c r="AP41" s="6" t="s">
        <v>152</v>
      </c>
      <c r="AQ41" s="6" t="s">
        <v>152</v>
      </c>
      <c r="AR41" s="6" t="s">
        <v>152</v>
      </c>
    </row>
    <row r="42" spans="1:44" x14ac:dyDescent="0.2">
      <c r="A42" s="1" t="str">
        <f ca="1">IFERROR(__xludf.DUMMYFUNCTION("""COMPUTED_VALUE"""),"Electro")</f>
        <v>Electro</v>
      </c>
      <c r="B42" s="6" t="s">
        <v>152</v>
      </c>
      <c r="C42" s="6" t="s">
        <v>152</v>
      </c>
      <c r="D42" s="6" t="s">
        <v>152</v>
      </c>
      <c r="E42" s="6" t="s">
        <v>152</v>
      </c>
      <c r="F42" s="6" t="s">
        <v>152</v>
      </c>
      <c r="G42" s="6" t="s">
        <v>152</v>
      </c>
      <c r="H42" s="6" t="s">
        <v>152</v>
      </c>
      <c r="I42" s="6" t="s">
        <v>152</v>
      </c>
      <c r="J42" s="6" t="s">
        <v>152</v>
      </c>
      <c r="K42" s="6" t="s">
        <v>152</v>
      </c>
      <c r="L42" s="6" t="s">
        <v>152</v>
      </c>
      <c r="M42" s="6" t="s">
        <v>152</v>
      </c>
      <c r="N42" s="6" t="s">
        <v>152</v>
      </c>
      <c r="O42" s="6" t="s">
        <v>152</v>
      </c>
      <c r="P42" s="6" t="s">
        <v>152</v>
      </c>
      <c r="Q42" s="6" t="s">
        <v>152</v>
      </c>
      <c r="R42" s="6" t="s">
        <v>152</v>
      </c>
      <c r="S42" s="6" t="s">
        <v>152</v>
      </c>
      <c r="T42" s="6" t="s">
        <v>152</v>
      </c>
      <c r="U42" s="6" t="s">
        <v>152</v>
      </c>
      <c r="V42" s="6" t="s">
        <v>152</v>
      </c>
      <c r="W42" s="6" t="s">
        <v>152</v>
      </c>
      <c r="X42" s="6" t="s">
        <v>152</v>
      </c>
      <c r="Y42" s="6" t="s">
        <v>152</v>
      </c>
      <c r="Z42" s="6" t="s">
        <v>152</v>
      </c>
      <c r="AA42" s="6" t="s">
        <v>152</v>
      </c>
      <c r="AB42" s="6" t="s">
        <v>152</v>
      </c>
      <c r="AC42" s="6" t="s">
        <v>152</v>
      </c>
      <c r="AD42" s="6" t="s">
        <v>152</v>
      </c>
      <c r="AE42" s="6" t="s">
        <v>152</v>
      </c>
      <c r="AF42" s="6" t="s">
        <v>152</v>
      </c>
      <c r="AG42" s="6" t="s">
        <v>152</v>
      </c>
      <c r="AH42" s="6" t="s">
        <v>152</v>
      </c>
      <c r="AI42" s="6" t="s">
        <v>152</v>
      </c>
      <c r="AJ42" s="6" t="s">
        <v>152</v>
      </c>
      <c r="AK42" s="9" t="s">
        <v>165</v>
      </c>
      <c r="AL42" s="6" t="s">
        <v>152</v>
      </c>
      <c r="AM42" s="6" t="s">
        <v>152</v>
      </c>
      <c r="AN42" s="6" t="s">
        <v>152</v>
      </c>
      <c r="AO42" s="6" t="s">
        <v>152</v>
      </c>
      <c r="AP42" s="6" t="s">
        <v>152</v>
      </c>
      <c r="AQ42" s="6" t="s">
        <v>152</v>
      </c>
      <c r="AR42" s="6" t="s">
        <v>152</v>
      </c>
    </row>
    <row r="43" spans="1:44" x14ac:dyDescent="0.2">
      <c r="A43" s="1" t="str">
        <f ca="1">IFERROR(__xludf.DUMMYFUNCTION("""COMPUTED_VALUE"""),"Emma Frost")</f>
        <v>Emma Frost</v>
      </c>
      <c r="B43" s="6" t="s">
        <v>152</v>
      </c>
      <c r="C43" s="6" t="s">
        <v>152</v>
      </c>
      <c r="D43" s="6" t="s">
        <v>152</v>
      </c>
      <c r="E43" s="6" t="s">
        <v>152</v>
      </c>
      <c r="F43" s="9" t="s">
        <v>165</v>
      </c>
      <c r="G43" s="6" t="s">
        <v>152</v>
      </c>
      <c r="H43" s="9" t="s">
        <v>165</v>
      </c>
      <c r="I43" s="6" t="s">
        <v>152</v>
      </c>
      <c r="J43" s="6" t="s">
        <v>152</v>
      </c>
      <c r="K43" s="6" t="s">
        <v>152</v>
      </c>
      <c r="L43" s="6" t="s">
        <v>152</v>
      </c>
      <c r="M43" s="6" t="s">
        <v>152</v>
      </c>
      <c r="N43" s="6" t="s">
        <v>152</v>
      </c>
      <c r="O43" s="6" t="s">
        <v>152</v>
      </c>
      <c r="P43" s="6" t="s">
        <v>152</v>
      </c>
      <c r="Q43" s="6" t="s">
        <v>152</v>
      </c>
      <c r="R43" s="9" t="s">
        <v>165</v>
      </c>
      <c r="S43" s="6" t="s">
        <v>152</v>
      </c>
      <c r="T43" s="9" t="s">
        <v>165</v>
      </c>
      <c r="U43" s="6" t="s">
        <v>152</v>
      </c>
      <c r="V43" s="6" t="s">
        <v>152</v>
      </c>
      <c r="W43" s="6" t="s">
        <v>152</v>
      </c>
      <c r="X43" s="6" t="s">
        <v>152</v>
      </c>
      <c r="Y43" s="6" t="s">
        <v>152</v>
      </c>
      <c r="Z43" s="6" t="s">
        <v>152</v>
      </c>
      <c r="AA43" s="6" t="s">
        <v>152</v>
      </c>
      <c r="AB43" s="9" t="s">
        <v>165</v>
      </c>
      <c r="AC43" s="6" t="s">
        <v>152</v>
      </c>
      <c r="AD43" s="6" t="s">
        <v>152</v>
      </c>
      <c r="AE43" s="6" t="s">
        <v>152</v>
      </c>
      <c r="AF43" s="6" t="s">
        <v>152</v>
      </c>
      <c r="AG43" s="6" t="s">
        <v>152</v>
      </c>
      <c r="AH43" s="6" t="s">
        <v>152</v>
      </c>
      <c r="AI43" s="9" t="s">
        <v>165</v>
      </c>
      <c r="AJ43" s="6" t="s">
        <v>152</v>
      </c>
      <c r="AK43" s="9" t="s">
        <v>165</v>
      </c>
      <c r="AL43" s="6" t="s">
        <v>152</v>
      </c>
      <c r="AM43" s="6" t="s">
        <v>152</v>
      </c>
      <c r="AN43" s="6" t="s">
        <v>152</v>
      </c>
      <c r="AO43" s="6" t="s">
        <v>152</v>
      </c>
      <c r="AP43" s="9" t="s">
        <v>165</v>
      </c>
      <c r="AQ43" s="6" t="s">
        <v>152</v>
      </c>
      <c r="AR43" s="6" t="s">
        <v>152</v>
      </c>
    </row>
    <row r="44" spans="1:44" x14ac:dyDescent="0.2">
      <c r="A44" s="1" t="str">
        <f ca="1">IFERROR(__xludf.DUMMYFUNCTION("""COMPUTED_VALUE"""),"Enchantress")</f>
        <v>Enchantress</v>
      </c>
      <c r="B44" s="6" t="s">
        <v>152</v>
      </c>
      <c r="C44" s="6" t="s">
        <v>152</v>
      </c>
      <c r="D44" s="6" t="s">
        <v>152</v>
      </c>
      <c r="E44" s="6" t="s">
        <v>152</v>
      </c>
      <c r="F44" s="6" t="s">
        <v>152</v>
      </c>
      <c r="G44" s="6" t="s">
        <v>152</v>
      </c>
      <c r="H44" s="6" t="s">
        <v>152</v>
      </c>
      <c r="I44" s="6" t="s">
        <v>152</v>
      </c>
      <c r="J44" s="6" t="s">
        <v>152</v>
      </c>
      <c r="K44" s="6" t="s">
        <v>152</v>
      </c>
      <c r="L44" s="6" t="s">
        <v>152</v>
      </c>
      <c r="M44" s="6" t="s">
        <v>152</v>
      </c>
      <c r="N44" s="6" t="s">
        <v>152</v>
      </c>
      <c r="O44" s="6" t="s">
        <v>152</v>
      </c>
      <c r="P44" s="6" t="s">
        <v>152</v>
      </c>
      <c r="Q44" s="6" t="s">
        <v>152</v>
      </c>
      <c r="R44" s="6" t="s">
        <v>152</v>
      </c>
      <c r="S44" s="6" t="s">
        <v>152</v>
      </c>
      <c r="T44" s="6" t="s">
        <v>152</v>
      </c>
      <c r="U44" s="6" t="s">
        <v>152</v>
      </c>
      <c r="V44" s="6" t="s">
        <v>152</v>
      </c>
      <c r="W44" s="6" t="s">
        <v>152</v>
      </c>
      <c r="X44" s="6" t="s">
        <v>152</v>
      </c>
      <c r="Y44" s="6" t="s">
        <v>152</v>
      </c>
      <c r="Z44" s="6" t="s">
        <v>152</v>
      </c>
      <c r="AA44" s="6" t="s">
        <v>152</v>
      </c>
      <c r="AB44" s="6" t="s">
        <v>152</v>
      </c>
      <c r="AC44" s="6" t="s">
        <v>152</v>
      </c>
      <c r="AD44" s="6" t="s">
        <v>152</v>
      </c>
      <c r="AE44" s="9" t="s">
        <v>165</v>
      </c>
      <c r="AF44" s="6" t="s">
        <v>152</v>
      </c>
      <c r="AG44" s="6" t="s">
        <v>152</v>
      </c>
      <c r="AH44" s="6" t="s">
        <v>152</v>
      </c>
      <c r="AI44" s="6" t="s">
        <v>152</v>
      </c>
      <c r="AJ44" s="6" t="s">
        <v>152</v>
      </c>
      <c r="AK44" s="6" t="s">
        <v>152</v>
      </c>
      <c r="AL44" s="6" t="s">
        <v>152</v>
      </c>
      <c r="AM44" s="6" t="s">
        <v>152</v>
      </c>
      <c r="AN44" s="6" t="s">
        <v>152</v>
      </c>
      <c r="AO44" s="6" t="s">
        <v>152</v>
      </c>
      <c r="AP44" s="6" t="s">
        <v>152</v>
      </c>
      <c r="AQ44" s="6" t="s">
        <v>152</v>
      </c>
      <c r="AR44" s="6" t="s">
        <v>152</v>
      </c>
    </row>
    <row r="45" spans="1:44" x14ac:dyDescent="0.2">
      <c r="A45" s="1" t="str">
        <f ca="1">IFERROR(__xludf.DUMMYFUNCTION("""COMPUTED_VALUE"""),"Falcon")</f>
        <v>Falcon</v>
      </c>
      <c r="B45" s="6" t="s">
        <v>152</v>
      </c>
      <c r="C45" s="6" t="s">
        <v>152</v>
      </c>
      <c r="D45" s="6" t="s">
        <v>152</v>
      </c>
      <c r="E45" s="6" t="s">
        <v>152</v>
      </c>
      <c r="F45" s="6" t="s">
        <v>152</v>
      </c>
      <c r="G45" s="6" t="s">
        <v>152</v>
      </c>
      <c r="H45" s="6" t="s">
        <v>152</v>
      </c>
      <c r="I45" s="6" t="s">
        <v>152</v>
      </c>
      <c r="J45" s="6" t="s">
        <v>152</v>
      </c>
      <c r="K45" s="6" t="s">
        <v>152</v>
      </c>
      <c r="L45" s="6" t="s">
        <v>152</v>
      </c>
      <c r="M45" s="6" t="s">
        <v>152</v>
      </c>
      <c r="N45" s="6" t="s">
        <v>152</v>
      </c>
      <c r="O45" s="6" t="s">
        <v>152</v>
      </c>
      <c r="P45" s="6" t="s">
        <v>152</v>
      </c>
      <c r="Q45" s="6" t="s">
        <v>152</v>
      </c>
      <c r="R45" s="6" t="s">
        <v>152</v>
      </c>
      <c r="S45" s="6" t="s">
        <v>152</v>
      </c>
      <c r="T45" s="6" t="s">
        <v>152</v>
      </c>
      <c r="U45" s="6" t="s">
        <v>152</v>
      </c>
      <c r="V45" s="6" t="s">
        <v>152</v>
      </c>
      <c r="W45" s="6" t="s">
        <v>152</v>
      </c>
      <c r="X45" s="6" t="s">
        <v>152</v>
      </c>
      <c r="Y45" s="6" t="s">
        <v>152</v>
      </c>
      <c r="Z45" s="6" t="s">
        <v>152</v>
      </c>
      <c r="AA45" s="6" t="s">
        <v>152</v>
      </c>
      <c r="AB45" s="6" t="s">
        <v>152</v>
      </c>
      <c r="AC45" s="6" t="s">
        <v>152</v>
      </c>
      <c r="AD45" s="6" t="s">
        <v>152</v>
      </c>
      <c r="AE45" s="6" t="s">
        <v>152</v>
      </c>
      <c r="AF45" s="6" t="s">
        <v>152</v>
      </c>
      <c r="AG45" s="6" t="s">
        <v>152</v>
      </c>
      <c r="AH45" s="6" t="s">
        <v>152</v>
      </c>
      <c r="AI45" s="6" t="s">
        <v>152</v>
      </c>
      <c r="AJ45" s="6" t="s">
        <v>152</v>
      </c>
      <c r="AK45" s="6" t="s">
        <v>152</v>
      </c>
      <c r="AL45" s="6" t="s">
        <v>152</v>
      </c>
      <c r="AM45" s="6" t="s">
        <v>152</v>
      </c>
      <c r="AN45" s="6" t="s">
        <v>152</v>
      </c>
      <c r="AO45" s="6" t="s">
        <v>152</v>
      </c>
      <c r="AP45" s="9" t="s">
        <v>165</v>
      </c>
      <c r="AQ45" s="6" t="s">
        <v>152</v>
      </c>
      <c r="AR45" s="6" t="s">
        <v>152</v>
      </c>
    </row>
    <row r="46" spans="1:44" x14ac:dyDescent="0.2">
      <c r="A46" s="1" t="str">
        <f ca="1">IFERROR(__xludf.DUMMYFUNCTION("""COMPUTED_VALUE"""),"Franken-Castle")</f>
        <v>Franken-Castle</v>
      </c>
      <c r="B46" s="6" t="s">
        <v>152</v>
      </c>
      <c r="C46" s="6" t="s">
        <v>152</v>
      </c>
      <c r="D46" s="6" t="s">
        <v>152</v>
      </c>
      <c r="E46" s="6" t="s">
        <v>152</v>
      </c>
      <c r="F46" s="6" t="s">
        <v>152</v>
      </c>
      <c r="G46" s="6" t="s">
        <v>152</v>
      </c>
      <c r="H46" s="6" t="s">
        <v>152</v>
      </c>
      <c r="I46" s="6" t="s">
        <v>152</v>
      </c>
      <c r="J46" s="6" t="s">
        <v>152</v>
      </c>
      <c r="K46" s="6" t="s">
        <v>152</v>
      </c>
      <c r="L46" s="6" t="s">
        <v>152</v>
      </c>
      <c r="M46" s="6" t="s">
        <v>152</v>
      </c>
      <c r="N46" s="6" t="s">
        <v>152</v>
      </c>
      <c r="O46" s="6" t="s">
        <v>152</v>
      </c>
      <c r="P46" s="6" t="s">
        <v>152</v>
      </c>
      <c r="Q46" s="6" t="s">
        <v>152</v>
      </c>
      <c r="R46" s="6" t="s">
        <v>152</v>
      </c>
      <c r="S46" s="6" t="s">
        <v>152</v>
      </c>
      <c r="T46" s="6" t="s">
        <v>152</v>
      </c>
      <c r="U46" s="6" t="s">
        <v>152</v>
      </c>
      <c r="V46" s="6" t="s">
        <v>152</v>
      </c>
      <c r="W46" s="6" t="s">
        <v>152</v>
      </c>
      <c r="X46" s="6" t="s">
        <v>152</v>
      </c>
      <c r="Y46" s="6" t="s">
        <v>152</v>
      </c>
      <c r="Z46" s="6" t="s">
        <v>152</v>
      </c>
      <c r="AA46" s="9" t="s">
        <v>165</v>
      </c>
      <c r="AB46" s="9" t="s">
        <v>165</v>
      </c>
      <c r="AC46" s="6" t="s">
        <v>152</v>
      </c>
      <c r="AD46" s="6" t="s">
        <v>152</v>
      </c>
      <c r="AE46" s="6" t="s">
        <v>152</v>
      </c>
      <c r="AF46" s="6" t="s">
        <v>152</v>
      </c>
      <c r="AG46" s="6" t="s">
        <v>152</v>
      </c>
      <c r="AH46" s="6" t="s">
        <v>152</v>
      </c>
      <c r="AI46" s="6" t="s">
        <v>152</v>
      </c>
      <c r="AJ46" s="6" t="s">
        <v>152</v>
      </c>
      <c r="AK46" s="6" t="s">
        <v>152</v>
      </c>
      <c r="AL46" s="6" t="s">
        <v>152</v>
      </c>
      <c r="AM46" s="6" t="s">
        <v>152</v>
      </c>
      <c r="AN46" s="9" t="s">
        <v>165</v>
      </c>
      <c r="AO46" s="6" t="s">
        <v>152</v>
      </c>
      <c r="AP46" s="6" t="s">
        <v>152</v>
      </c>
      <c r="AQ46" s="6" t="s">
        <v>152</v>
      </c>
      <c r="AR46" s="6" t="s">
        <v>152</v>
      </c>
    </row>
    <row r="47" spans="1:44" x14ac:dyDescent="0.2">
      <c r="A47" s="1" t="str">
        <f ca="1">IFERROR(__xludf.DUMMYFUNCTION("""COMPUTED_VALUE"""),"Galan")</f>
        <v>Galan</v>
      </c>
      <c r="B47" s="6" t="s">
        <v>152</v>
      </c>
      <c r="C47" s="6" t="s">
        <v>152</v>
      </c>
      <c r="D47" s="6" t="s">
        <v>152</v>
      </c>
      <c r="E47" s="6" t="s">
        <v>152</v>
      </c>
      <c r="F47" s="6" t="s">
        <v>152</v>
      </c>
      <c r="G47" s="6" t="s">
        <v>152</v>
      </c>
      <c r="H47" s="6" t="s">
        <v>152</v>
      </c>
      <c r="I47" s="6" t="s">
        <v>152</v>
      </c>
      <c r="J47" s="6" t="s">
        <v>152</v>
      </c>
      <c r="K47" s="6" t="s">
        <v>152</v>
      </c>
      <c r="L47" s="6" t="s">
        <v>152</v>
      </c>
      <c r="M47" s="6" t="s">
        <v>152</v>
      </c>
      <c r="N47" s="6" t="s">
        <v>152</v>
      </c>
      <c r="O47" s="6" t="s">
        <v>152</v>
      </c>
      <c r="P47" s="9" t="s">
        <v>165</v>
      </c>
      <c r="Q47" s="6" t="s">
        <v>152</v>
      </c>
      <c r="R47" s="6" t="s">
        <v>152</v>
      </c>
      <c r="S47" s="6" t="s">
        <v>152</v>
      </c>
      <c r="T47" s="6" t="s">
        <v>152</v>
      </c>
      <c r="U47" s="6" t="s">
        <v>152</v>
      </c>
      <c r="V47" s="6" t="s">
        <v>152</v>
      </c>
      <c r="W47" s="6" t="s">
        <v>152</v>
      </c>
      <c r="X47" s="6" t="s">
        <v>152</v>
      </c>
      <c r="Y47" s="6" t="s">
        <v>152</v>
      </c>
      <c r="Z47" s="9" t="s">
        <v>165</v>
      </c>
      <c r="AA47" s="6" t="s">
        <v>152</v>
      </c>
      <c r="AB47" s="6" t="s">
        <v>152</v>
      </c>
      <c r="AC47" s="9" t="s">
        <v>165</v>
      </c>
      <c r="AD47" s="9" t="s">
        <v>165</v>
      </c>
      <c r="AE47" s="9" t="s">
        <v>165</v>
      </c>
      <c r="AF47" s="6" t="s">
        <v>152</v>
      </c>
      <c r="AG47" s="6" t="s">
        <v>152</v>
      </c>
      <c r="AH47" s="6" t="s">
        <v>152</v>
      </c>
      <c r="AI47" s="6" t="s">
        <v>152</v>
      </c>
      <c r="AJ47" s="6" t="s">
        <v>152</v>
      </c>
      <c r="AK47" s="6" t="s">
        <v>152</v>
      </c>
      <c r="AL47" s="6" t="s">
        <v>152</v>
      </c>
      <c r="AM47" s="9" t="s">
        <v>165</v>
      </c>
      <c r="AN47" s="6" t="s">
        <v>152</v>
      </c>
      <c r="AO47" s="6" t="s">
        <v>152</v>
      </c>
      <c r="AP47" s="6" t="s">
        <v>152</v>
      </c>
      <c r="AQ47" s="6" t="s">
        <v>152</v>
      </c>
      <c r="AR47" s="6" t="s">
        <v>152</v>
      </c>
    </row>
    <row r="48" spans="1:44" x14ac:dyDescent="0.2">
      <c r="A48" s="1" t="str">
        <f ca="1">IFERROR(__xludf.DUMMYFUNCTION("""COMPUTED_VALUE"""),"Gambit")</f>
        <v>Gambit</v>
      </c>
      <c r="B48" s="6" t="s">
        <v>152</v>
      </c>
      <c r="C48" s="6" t="s">
        <v>152</v>
      </c>
      <c r="D48" s="6" t="s">
        <v>152</v>
      </c>
      <c r="E48" s="6" t="s">
        <v>152</v>
      </c>
      <c r="F48" s="6" t="s">
        <v>152</v>
      </c>
      <c r="G48" s="6" t="s">
        <v>152</v>
      </c>
      <c r="H48" s="6" t="s">
        <v>152</v>
      </c>
      <c r="I48" s="6" t="s">
        <v>152</v>
      </c>
      <c r="J48" s="6" t="s">
        <v>152</v>
      </c>
      <c r="K48" s="6" t="s">
        <v>152</v>
      </c>
      <c r="L48" s="6" t="s">
        <v>152</v>
      </c>
      <c r="M48" s="6" t="s">
        <v>152</v>
      </c>
      <c r="N48" s="6" t="s">
        <v>152</v>
      </c>
      <c r="O48" s="6" t="s">
        <v>152</v>
      </c>
      <c r="P48" s="6" t="s">
        <v>152</v>
      </c>
      <c r="Q48" s="6" t="s">
        <v>152</v>
      </c>
      <c r="R48" s="6" t="s">
        <v>152</v>
      </c>
      <c r="S48" s="6" t="s">
        <v>152</v>
      </c>
      <c r="T48" s="6" t="s">
        <v>152</v>
      </c>
      <c r="U48" s="6" t="s">
        <v>152</v>
      </c>
      <c r="V48" s="6" t="s">
        <v>152</v>
      </c>
      <c r="W48" s="6" t="s">
        <v>152</v>
      </c>
      <c r="X48" s="6" t="s">
        <v>152</v>
      </c>
      <c r="Y48" s="6" t="s">
        <v>152</v>
      </c>
      <c r="Z48" s="6" t="s">
        <v>152</v>
      </c>
      <c r="AA48" s="6" t="s">
        <v>152</v>
      </c>
      <c r="AB48" s="6" t="s">
        <v>152</v>
      </c>
      <c r="AC48" s="6" t="s">
        <v>152</v>
      </c>
      <c r="AD48" s="6" t="s">
        <v>152</v>
      </c>
      <c r="AE48" s="6" t="s">
        <v>152</v>
      </c>
      <c r="AF48" s="6" t="s">
        <v>152</v>
      </c>
      <c r="AG48" s="6" t="s">
        <v>152</v>
      </c>
      <c r="AH48" s="6" t="s">
        <v>152</v>
      </c>
      <c r="AI48" s="9" t="s">
        <v>165</v>
      </c>
      <c r="AJ48" s="6" t="s">
        <v>152</v>
      </c>
      <c r="AK48" s="6" t="s">
        <v>152</v>
      </c>
      <c r="AL48" s="6" t="s">
        <v>152</v>
      </c>
      <c r="AM48" s="6" t="s">
        <v>152</v>
      </c>
      <c r="AN48" s="6" t="s">
        <v>152</v>
      </c>
      <c r="AO48" s="6" t="s">
        <v>152</v>
      </c>
      <c r="AP48" s="6" t="s">
        <v>152</v>
      </c>
      <c r="AQ48" s="6" t="s">
        <v>152</v>
      </c>
      <c r="AR48" s="6" t="s">
        <v>152</v>
      </c>
    </row>
    <row r="49" spans="1:44" x14ac:dyDescent="0.2">
      <c r="A49" s="1" t="str">
        <f ca="1">IFERROR(__xludf.DUMMYFUNCTION("""COMPUTED_VALUE"""),"Gentle")</f>
        <v>Gentle</v>
      </c>
      <c r="B49" s="6" t="s">
        <v>152</v>
      </c>
      <c r="C49" s="6" t="s">
        <v>152</v>
      </c>
      <c r="D49" s="6" t="s">
        <v>152</v>
      </c>
      <c r="E49" s="6" t="s">
        <v>152</v>
      </c>
      <c r="F49" s="9" t="s">
        <v>165</v>
      </c>
      <c r="G49" s="6" t="s">
        <v>152</v>
      </c>
      <c r="H49" s="6" t="s">
        <v>152</v>
      </c>
      <c r="I49" s="6" t="s">
        <v>152</v>
      </c>
      <c r="J49" s="6" t="s">
        <v>152</v>
      </c>
      <c r="K49" s="6" t="s">
        <v>152</v>
      </c>
      <c r="L49" s="6" t="s">
        <v>152</v>
      </c>
      <c r="M49" s="6" t="s">
        <v>152</v>
      </c>
      <c r="N49" s="6" t="s">
        <v>152</v>
      </c>
      <c r="O49" s="6" t="s">
        <v>152</v>
      </c>
      <c r="P49" s="6" t="s">
        <v>152</v>
      </c>
      <c r="Q49" s="6" t="s">
        <v>152</v>
      </c>
      <c r="R49" s="6" t="s">
        <v>152</v>
      </c>
      <c r="S49" s="6" t="s">
        <v>152</v>
      </c>
      <c r="T49" s="6" t="s">
        <v>152</v>
      </c>
      <c r="U49" s="6" t="s">
        <v>152</v>
      </c>
      <c r="V49" s="6" t="s">
        <v>152</v>
      </c>
      <c r="W49" s="6" t="s">
        <v>152</v>
      </c>
      <c r="X49" s="6" t="s">
        <v>152</v>
      </c>
      <c r="Y49" s="6" t="s">
        <v>152</v>
      </c>
      <c r="Z49" s="6" t="s">
        <v>152</v>
      </c>
      <c r="AA49" s="6" t="s">
        <v>152</v>
      </c>
      <c r="AB49" s="6" t="s">
        <v>152</v>
      </c>
      <c r="AC49" s="6" t="s">
        <v>152</v>
      </c>
      <c r="AD49" s="6" t="s">
        <v>152</v>
      </c>
      <c r="AE49" s="6" t="s">
        <v>152</v>
      </c>
      <c r="AF49" s="6" t="s">
        <v>152</v>
      </c>
      <c r="AG49" s="6" t="s">
        <v>152</v>
      </c>
      <c r="AH49" s="6" t="s">
        <v>152</v>
      </c>
      <c r="AI49" s="6" t="s">
        <v>152</v>
      </c>
      <c r="AJ49" s="6" t="s">
        <v>152</v>
      </c>
      <c r="AK49" s="6" t="s">
        <v>152</v>
      </c>
      <c r="AL49" s="6" t="s">
        <v>152</v>
      </c>
      <c r="AM49" s="6" t="s">
        <v>152</v>
      </c>
      <c r="AN49" s="6" t="s">
        <v>152</v>
      </c>
      <c r="AO49" s="6" t="s">
        <v>152</v>
      </c>
      <c r="AP49" s="9" t="s">
        <v>165</v>
      </c>
      <c r="AQ49" s="6" t="s">
        <v>152</v>
      </c>
      <c r="AR49" s="6" t="s">
        <v>152</v>
      </c>
    </row>
    <row r="50" spans="1:44" x14ac:dyDescent="0.2">
      <c r="A50" s="1" t="str">
        <f ca="1">IFERROR(__xludf.DUMMYFUNCTION("""COMPUTED_VALUE"""),"Ghost Rider")</f>
        <v>Ghost Rider</v>
      </c>
      <c r="B50" s="6" t="s">
        <v>152</v>
      </c>
      <c r="C50" s="6" t="s">
        <v>152</v>
      </c>
      <c r="D50" s="6" t="s">
        <v>152</v>
      </c>
      <c r="E50" s="6" t="s">
        <v>152</v>
      </c>
      <c r="F50" s="9" t="s">
        <v>165</v>
      </c>
      <c r="G50" s="6" t="s">
        <v>152</v>
      </c>
      <c r="H50" s="6" t="s">
        <v>152</v>
      </c>
      <c r="I50" s="6" t="s">
        <v>152</v>
      </c>
      <c r="J50" s="6" t="s">
        <v>152</v>
      </c>
      <c r="K50" s="6" t="s">
        <v>152</v>
      </c>
      <c r="L50" s="6" t="s">
        <v>152</v>
      </c>
      <c r="M50" s="6" t="s">
        <v>152</v>
      </c>
      <c r="N50" s="6" t="s">
        <v>152</v>
      </c>
      <c r="O50" s="6" t="s">
        <v>152</v>
      </c>
      <c r="P50" s="6" t="s">
        <v>152</v>
      </c>
      <c r="Q50" s="6" t="s">
        <v>152</v>
      </c>
      <c r="R50" s="6" t="s">
        <v>152</v>
      </c>
      <c r="S50" s="6" t="s">
        <v>152</v>
      </c>
      <c r="T50" s="9" t="s">
        <v>165</v>
      </c>
      <c r="U50" s="6" t="s">
        <v>152</v>
      </c>
      <c r="V50" s="6" t="s">
        <v>152</v>
      </c>
      <c r="W50" s="6" t="s">
        <v>152</v>
      </c>
      <c r="X50" s="6" t="s">
        <v>152</v>
      </c>
      <c r="Y50" s="6" t="s">
        <v>152</v>
      </c>
      <c r="Z50" s="6" t="s">
        <v>152</v>
      </c>
      <c r="AA50" s="6" t="s">
        <v>152</v>
      </c>
      <c r="AB50" s="6" t="s">
        <v>152</v>
      </c>
      <c r="AC50" s="6" t="s">
        <v>152</v>
      </c>
      <c r="AD50" s="6" t="s">
        <v>152</v>
      </c>
      <c r="AE50" s="6" t="s">
        <v>152</v>
      </c>
      <c r="AF50" s="6" t="s">
        <v>152</v>
      </c>
      <c r="AG50" s="6" t="s">
        <v>152</v>
      </c>
      <c r="AH50" s="6" t="s">
        <v>152</v>
      </c>
      <c r="AI50" s="6" t="s">
        <v>152</v>
      </c>
      <c r="AJ50" s="6" t="s">
        <v>152</v>
      </c>
      <c r="AK50" s="6" t="s">
        <v>152</v>
      </c>
      <c r="AL50" s="6" t="s">
        <v>152</v>
      </c>
      <c r="AM50" s="6" t="s">
        <v>152</v>
      </c>
      <c r="AN50" s="6" t="s">
        <v>152</v>
      </c>
      <c r="AO50" s="6" t="s">
        <v>152</v>
      </c>
      <c r="AP50" s="6" t="s">
        <v>152</v>
      </c>
      <c r="AQ50" s="6" t="s">
        <v>152</v>
      </c>
      <c r="AR50" s="6" t="s">
        <v>152</v>
      </c>
    </row>
    <row r="51" spans="1:44" x14ac:dyDescent="0.2">
      <c r="A51" s="1" t="str">
        <f ca="1">IFERROR(__xludf.DUMMYFUNCTION("""COMPUTED_VALUE"""),"Gladiator")</f>
        <v>Gladiator</v>
      </c>
      <c r="B51" s="6" t="s">
        <v>152</v>
      </c>
      <c r="C51" s="6" t="s">
        <v>152</v>
      </c>
      <c r="D51" s="6" t="s">
        <v>152</v>
      </c>
      <c r="E51" s="6" t="s">
        <v>152</v>
      </c>
      <c r="F51" s="6" t="s">
        <v>152</v>
      </c>
      <c r="G51" s="6" t="s">
        <v>152</v>
      </c>
      <c r="H51" s="6" t="s">
        <v>152</v>
      </c>
      <c r="I51" s="6" t="s">
        <v>152</v>
      </c>
      <c r="J51" s="6" t="s">
        <v>152</v>
      </c>
      <c r="K51" s="6" t="s">
        <v>152</v>
      </c>
      <c r="L51" s="6" t="s">
        <v>152</v>
      </c>
      <c r="M51" s="6" t="s">
        <v>152</v>
      </c>
      <c r="N51" s="6" t="s">
        <v>152</v>
      </c>
      <c r="O51" s="6" t="s">
        <v>152</v>
      </c>
      <c r="P51" s="6" t="s">
        <v>152</v>
      </c>
      <c r="Q51" s="6" t="s">
        <v>152</v>
      </c>
      <c r="R51" s="6" t="s">
        <v>152</v>
      </c>
      <c r="S51" s="6" t="s">
        <v>152</v>
      </c>
      <c r="T51" s="6" t="s">
        <v>152</v>
      </c>
      <c r="U51" s="6" t="s">
        <v>152</v>
      </c>
      <c r="V51" s="6" t="s">
        <v>152</v>
      </c>
      <c r="W51" s="6" t="s">
        <v>152</v>
      </c>
      <c r="X51" s="6" t="s">
        <v>152</v>
      </c>
      <c r="Y51" s="6" t="s">
        <v>152</v>
      </c>
      <c r="Z51" s="6" t="s">
        <v>152</v>
      </c>
      <c r="AA51" s="6" t="s">
        <v>152</v>
      </c>
      <c r="AB51" s="6" t="s">
        <v>152</v>
      </c>
      <c r="AC51" s="9" t="s">
        <v>165</v>
      </c>
      <c r="AD51" s="9" t="s">
        <v>165</v>
      </c>
      <c r="AE51" s="6" t="s">
        <v>152</v>
      </c>
      <c r="AF51" s="6" t="s">
        <v>152</v>
      </c>
      <c r="AG51" s="6" t="s">
        <v>152</v>
      </c>
      <c r="AH51" s="6" t="s">
        <v>152</v>
      </c>
      <c r="AI51" s="6" t="s">
        <v>152</v>
      </c>
      <c r="AJ51" s="6" t="s">
        <v>152</v>
      </c>
      <c r="AK51" s="6" t="s">
        <v>152</v>
      </c>
      <c r="AL51" s="6" t="s">
        <v>152</v>
      </c>
      <c r="AM51" s="6" t="s">
        <v>152</v>
      </c>
      <c r="AN51" s="6" t="s">
        <v>152</v>
      </c>
      <c r="AO51" s="6" t="s">
        <v>152</v>
      </c>
      <c r="AP51" s="6" t="s">
        <v>152</v>
      </c>
      <c r="AQ51" s="6" t="s">
        <v>152</v>
      </c>
      <c r="AR51" s="6" t="s">
        <v>152</v>
      </c>
    </row>
    <row r="52" spans="1:44" x14ac:dyDescent="0.2">
      <c r="A52" s="1" t="str">
        <f ca="1">IFERROR(__xludf.DUMMYFUNCTION("""COMPUTED_VALUE"""),"Gorr")</f>
        <v>Gorr</v>
      </c>
      <c r="B52" s="6" t="s">
        <v>152</v>
      </c>
      <c r="C52" s="6" t="s">
        <v>152</v>
      </c>
      <c r="D52" s="6" t="s">
        <v>152</v>
      </c>
      <c r="E52" s="6" t="s">
        <v>152</v>
      </c>
      <c r="F52" s="6" t="s">
        <v>152</v>
      </c>
      <c r="G52" s="6" t="s">
        <v>152</v>
      </c>
      <c r="H52" s="6" t="s">
        <v>152</v>
      </c>
      <c r="I52" s="6" t="s">
        <v>152</v>
      </c>
      <c r="J52" s="6" t="s">
        <v>152</v>
      </c>
      <c r="K52" s="6" t="s">
        <v>152</v>
      </c>
      <c r="L52" s="6" t="s">
        <v>152</v>
      </c>
      <c r="M52" s="6" t="s">
        <v>152</v>
      </c>
      <c r="N52" s="6" t="s">
        <v>152</v>
      </c>
      <c r="O52" s="6" t="s">
        <v>152</v>
      </c>
      <c r="P52" s="6" t="s">
        <v>152</v>
      </c>
      <c r="Q52" s="6" t="s">
        <v>152</v>
      </c>
      <c r="R52" s="6" t="s">
        <v>152</v>
      </c>
      <c r="S52" s="9" t="s">
        <v>165</v>
      </c>
      <c r="T52" s="6" t="s">
        <v>152</v>
      </c>
      <c r="U52" s="6" t="s">
        <v>152</v>
      </c>
      <c r="V52" s="6" t="s">
        <v>152</v>
      </c>
      <c r="W52" s="6" t="s">
        <v>152</v>
      </c>
      <c r="X52" s="6" t="s">
        <v>152</v>
      </c>
      <c r="Y52" s="6" t="s">
        <v>152</v>
      </c>
      <c r="Z52" s="6" t="s">
        <v>152</v>
      </c>
      <c r="AA52" s="6" t="s">
        <v>152</v>
      </c>
      <c r="AB52" s="6" t="s">
        <v>152</v>
      </c>
      <c r="AC52" s="6" t="s">
        <v>152</v>
      </c>
      <c r="AD52" s="6" t="s">
        <v>152</v>
      </c>
      <c r="AE52" s="6" t="s">
        <v>152</v>
      </c>
      <c r="AF52" s="6" t="s">
        <v>152</v>
      </c>
      <c r="AG52" s="6" t="s">
        <v>152</v>
      </c>
      <c r="AH52" s="6" t="s">
        <v>152</v>
      </c>
      <c r="AI52" s="6" t="s">
        <v>152</v>
      </c>
      <c r="AJ52" s="6" t="s">
        <v>152</v>
      </c>
      <c r="AK52" s="6" t="s">
        <v>152</v>
      </c>
      <c r="AL52" s="6" t="s">
        <v>152</v>
      </c>
      <c r="AM52" s="6" t="s">
        <v>152</v>
      </c>
      <c r="AN52" s="6" t="s">
        <v>152</v>
      </c>
      <c r="AO52" s="6" t="s">
        <v>152</v>
      </c>
      <c r="AP52" s="6" t="s">
        <v>152</v>
      </c>
      <c r="AQ52" s="6" t="s">
        <v>152</v>
      </c>
      <c r="AR52" s="6" t="s">
        <v>152</v>
      </c>
    </row>
    <row r="53" spans="1:44" x14ac:dyDescent="0.2">
      <c r="A53" s="1" t="str">
        <f ca="1">IFERROR(__xludf.DUMMYFUNCTION("""COMPUTED_VALUE"""),"Groot")</f>
        <v>Groot</v>
      </c>
      <c r="B53" s="6" t="s">
        <v>152</v>
      </c>
      <c r="C53" s="6" t="s">
        <v>152</v>
      </c>
      <c r="D53" s="6" t="s">
        <v>152</v>
      </c>
      <c r="E53" s="6" t="s">
        <v>152</v>
      </c>
      <c r="F53" s="9" t="s">
        <v>165</v>
      </c>
      <c r="G53" s="6" t="s">
        <v>152</v>
      </c>
      <c r="H53" s="6" t="s">
        <v>152</v>
      </c>
      <c r="I53" s="6" t="s">
        <v>152</v>
      </c>
      <c r="J53" s="6" t="s">
        <v>152</v>
      </c>
      <c r="K53" s="6" t="s">
        <v>152</v>
      </c>
      <c r="L53" s="6" t="s">
        <v>152</v>
      </c>
      <c r="M53" s="6" t="s">
        <v>152</v>
      </c>
      <c r="N53" s="6" t="s">
        <v>152</v>
      </c>
      <c r="O53" s="6" t="s">
        <v>152</v>
      </c>
      <c r="P53" s="6" t="s">
        <v>152</v>
      </c>
      <c r="Q53" s="6" t="s">
        <v>152</v>
      </c>
      <c r="R53" s="6" t="s">
        <v>152</v>
      </c>
      <c r="S53" s="6" t="s">
        <v>152</v>
      </c>
      <c r="T53" s="6" t="s">
        <v>152</v>
      </c>
      <c r="U53" s="6" t="s">
        <v>152</v>
      </c>
      <c r="V53" s="6" t="s">
        <v>152</v>
      </c>
      <c r="W53" s="6" t="s">
        <v>152</v>
      </c>
      <c r="X53" s="6" t="s">
        <v>152</v>
      </c>
      <c r="Y53" s="6" t="s">
        <v>152</v>
      </c>
      <c r="Z53" s="6" t="s">
        <v>152</v>
      </c>
      <c r="AA53" s="6" t="s">
        <v>152</v>
      </c>
      <c r="AB53" s="6" t="s">
        <v>152</v>
      </c>
      <c r="AC53" s="6" t="s">
        <v>152</v>
      </c>
      <c r="AD53" s="6" t="s">
        <v>152</v>
      </c>
      <c r="AE53" s="6" t="s">
        <v>152</v>
      </c>
      <c r="AF53" s="6" t="s">
        <v>152</v>
      </c>
      <c r="AG53" s="6" t="s">
        <v>152</v>
      </c>
      <c r="AH53" s="6" t="s">
        <v>152</v>
      </c>
      <c r="AI53" s="6" t="s">
        <v>152</v>
      </c>
      <c r="AJ53" s="6" t="s">
        <v>152</v>
      </c>
      <c r="AK53" s="6" t="s">
        <v>152</v>
      </c>
      <c r="AL53" s="6" t="s">
        <v>152</v>
      </c>
      <c r="AM53" s="6" t="s">
        <v>152</v>
      </c>
      <c r="AN53" s="6" t="s">
        <v>152</v>
      </c>
      <c r="AO53" s="6" t="s">
        <v>152</v>
      </c>
      <c r="AP53" s="6" t="s">
        <v>152</v>
      </c>
      <c r="AQ53" s="6" t="s">
        <v>152</v>
      </c>
      <c r="AR53" s="6" t="s">
        <v>152</v>
      </c>
    </row>
    <row r="54" spans="1:44" x14ac:dyDescent="0.2">
      <c r="A54" s="1" t="str">
        <f ca="1">IFERROR(__xludf.DUMMYFUNCTION("""COMPUTED_VALUE"""),"Guillotine 2099")</f>
        <v>Guillotine 2099</v>
      </c>
      <c r="B54" s="6" t="s">
        <v>152</v>
      </c>
      <c r="C54" s="6" t="s">
        <v>152</v>
      </c>
      <c r="D54" s="6" t="s">
        <v>152</v>
      </c>
      <c r="E54" s="6" t="s">
        <v>152</v>
      </c>
      <c r="F54" s="9" t="s">
        <v>165</v>
      </c>
      <c r="G54" s="6" t="s">
        <v>152</v>
      </c>
      <c r="H54" s="6" t="s">
        <v>152</v>
      </c>
      <c r="I54" s="6" t="s">
        <v>152</v>
      </c>
      <c r="J54" s="6" t="s">
        <v>152</v>
      </c>
      <c r="K54" s="6" t="s">
        <v>152</v>
      </c>
      <c r="L54" s="6" t="s">
        <v>152</v>
      </c>
      <c r="M54" s="6" t="s">
        <v>152</v>
      </c>
      <c r="N54" s="6" t="s">
        <v>152</v>
      </c>
      <c r="O54" s="6" t="s">
        <v>152</v>
      </c>
      <c r="P54" s="6" t="s">
        <v>152</v>
      </c>
      <c r="Q54" s="6" t="s">
        <v>152</v>
      </c>
      <c r="R54" s="6" t="s">
        <v>152</v>
      </c>
      <c r="S54" s="6" t="s">
        <v>152</v>
      </c>
      <c r="T54" s="6" t="s">
        <v>152</v>
      </c>
      <c r="U54" s="6" t="s">
        <v>152</v>
      </c>
      <c r="V54" s="6" t="s">
        <v>152</v>
      </c>
      <c r="W54" s="6" t="s">
        <v>152</v>
      </c>
      <c r="X54" s="6" t="s">
        <v>152</v>
      </c>
      <c r="Y54" s="6" t="s">
        <v>152</v>
      </c>
      <c r="Z54" s="6" t="s">
        <v>152</v>
      </c>
      <c r="AA54" s="6" t="s">
        <v>152</v>
      </c>
      <c r="AB54" s="9" t="s">
        <v>165</v>
      </c>
      <c r="AC54" s="6" t="s">
        <v>152</v>
      </c>
      <c r="AD54" s="6" t="s">
        <v>152</v>
      </c>
      <c r="AE54" s="6" t="s">
        <v>152</v>
      </c>
      <c r="AF54" s="6" t="s">
        <v>152</v>
      </c>
      <c r="AG54" s="6" t="s">
        <v>152</v>
      </c>
      <c r="AH54" s="6" t="s">
        <v>152</v>
      </c>
      <c r="AI54" s="6" t="s">
        <v>152</v>
      </c>
      <c r="AJ54" s="6" t="s">
        <v>152</v>
      </c>
      <c r="AK54" s="6" t="s">
        <v>152</v>
      </c>
      <c r="AL54" s="6" t="s">
        <v>152</v>
      </c>
      <c r="AM54" s="6" t="s">
        <v>152</v>
      </c>
      <c r="AN54" s="6" t="s">
        <v>152</v>
      </c>
      <c r="AO54" s="6" t="s">
        <v>152</v>
      </c>
      <c r="AP54" s="6" t="s">
        <v>152</v>
      </c>
      <c r="AQ54" s="6" t="s">
        <v>152</v>
      </c>
      <c r="AR54" s="6" t="s">
        <v>152</v>
      </c>
    </row>
    <row r="55" spans="1:44" x14ac:dyDescent="0.2">
      <c r="A55" s="1" t="str">
        <f ca="1">IFERROR(__xludf.DUMMYFUNCTION("""COMPUTED_VALUE"""),"Havok")</f>
        <v>Havok</v>
      </c>
      <c r="B55" s="6" t="s">
        <v>152</v>
      </c>
      <c r="C55" s="6" t="s">
        <v>152</v>
      </c>
      <c r="D55" s="6" t="s">
        <v>152</v>
      </c>
      <c r="E55" s="6" t="s">
        <v>152</v>
      </c>
      <c r="F55" s="6" t="s">
        <v>152</v>
      </c>
      <c r="G55" s="6" t="s">
        <v>152</v>
      </c>
      <c r="H55" s="6" t="s">
        <v>152</v>
      </c>
      <c r="I55" s="6" t="s">
        <v>152</v>
      </c>
      <c r="J55" s="6" t="s">
        <v>152</v>
      </c>
      <c r="K55" s="6" t="s">
        <v>152</v>
      </c>
      <c r="L55" s="6" t="s">
        <v>152</v>
      </c>
      <c r="M55" s="6" t="s">
        <v>152</v>
      </c>
      <c r="N55" s="6" t="s">
        <v>152</v>
      </c>
      <c r="O55" s="6" t="s">
        <v>152</v>
      </c>
      <c r="P55" s="6" t="s">
        <v>152</v>
      </c>
      <c r="Q55" s="6" t="s">
        <v>152</v>
      </c>
      <c r="R55" s="6" t="s">
        <v>152</v>
      </c>
      <c r="S55" s="6" t="s">
        <v>152</v>
      </c>
      <c r="T55" s="9" t="s">
        <v>165</v>
      </c>
      <c r="U55" s="6" t="s">
        <v>152</v>
      </c>
      <c r="V55" s="6" t="s">
        <v>152</v>
      </c>
      <c r="W55" s="6" t="s">
        <v>152</v>
      </c>
      <c r="X55" s="6" t="s">
        <v>152</v>
      </c>
      <c r="Y55" s="6" t="s">
        <v>152</v>
      </c>
      <c r="Z55" s="6" t="s">
        <v>152</v>
      </c>
      <c r="AA55" s="6" t="s">
        <v>152</v>
      </c>
      <c r="AB55" s="6" t="s">
        <v>152</v>
      </c>
      <c r="AC55" s="6" t="s">
        <v>152</v>
      </c>
      <c r="AD55" s="6" t="s">
        <v>152</v>
      </c>
      <c r="AE55" s="6" t="s">
        <v>152</v>
      </c>
      <c r="AF55" s="6" t="s">
        <v>152</v>
      </c>
      <c r="AG55" s="6" t="s">
        <v>152</v>
      </c>
      <c r="AH55" s="6" t="s">
        <v>152</v>
      </c>
      <c r="AI55" s="6" t="s">
        <v>152</v>
      </c>
      <c r="AJ55" s="6" t="s">
        <v>152</v>
      </c>
      <c r="AK55" s="6" t="s">
        <v>152</v>
      </c>
      <c r="AL55" s="6" t="s">
        <v>152</v>
      </c>
      <c r="AM55" s="6" t="s">
        <v>152</v>
      </c>
      <c r="AN55" s="6" t="s">
        <v>152</v>
      </c>
      <c r="AO55" s="6" t="s">
        <v>152</v>
      </c>
      <c r="AP55" s="6" t="s">
        <v>152</v>
      </c>
      <c r="AQ55" s="6" t="s">
        <v>152</v>
      </c>
      <c r="AR55" s="6" t="s">
        <v>152</v>
      </c>
    </row>
    <row r="56" spans="1:44" x14ac:dyDescent="0.2">
      <c r="A56" s="1" t="str">
        <f ca="1">IFERROR(__xludf.DUMMYFUNCTION("""COMPUTED_VALUE"""),"Hawkeye")</f>
        <v>Hawkeye</v>
      </c>
      <c r="B56" s="6" t="s">
        <v>152</v>
      </c>
      <c r="C56" s="6" t="s">
        <v>152</v>
      </c>
      <c r="D56" s="6" t="s">
        <v>152</v>
      </c>
      <c r="E56" s="6" t="s">
        <v>152</v>
      </c>
      <c r="F56" s="6" t="s">
        <v>152</v>
      </c>
      <c r="G56" s="6" t="s">
        <v>152</v>
      </c>
      <c r="H56" s="6" t="s">
        <v>152</v>
      </c>
      <c r="I56" s="6" t="s">
        <v>152</v>
      </c>
      <c r="J56" s="6" t="s">
        <v>152</v>
      </c>
      <c r="K56" s="6" t="s">
        <v>152</v>
      </c>
      <c r="L56" s="6" t="s">
        <v>152</v>
      </c>
      <c r="M56" s="6" t="s">
        <v>152</v>
      </c>
      <c r="N56" s="6" t="s">
        <v>152</v>
      </c>
      <c r="O56" s="6" t="s">
        <v>152</v>
      </c>
      <c r="P56" s="6" t="s">
        <v>152</v>
      </c>
      <c r="Q56" s="6" t="s">
        <v>152</v>
      </c>
      <c r="R56" s="6" t="s">
        <v>152</v>
      </c>
      <c r="S56" s="6" t="s">
        <v>152</v>
      </c>
      <c r="T56" s="6" t="s">
        <v>152</v>
      </c>
      <c r="U56" s="6" t="s">
        <v>152</v>
      </c>
      <c r="V56" s="6" t="s">
        <v>152</v>
      </c>
      <c r="W56" s="6" t="s">
        <v>152</v>
      </c>
      <c r="X56" s="6" t="s">
        <v>152</v>
      </c>
      <c r="Y56" s="6" t="s">
        <v>152</v>
      </c>
      <c r="Z56" s="6" t="s">
        <v>152</v>
      </c>
      <c r="AA56" s="6" t="s">
        <v>152</v>
      </c>
      <c r="AB56" s="9" t="s">
        <v>165</v>
      </c>
      <c r="AC56" s="6" t="s">
        <v>152</v>
      </c>
      <c r="AD56" s="6" t="s">
        <v>152</v>
      </c>
      <c r="AE56" s="6" t="s">
        <v>152</v>
      </c>
      <c r="AF56" s="6" t="s">
        <v>152</v>
      </c>
      <c r="AG56" s="6" t="s">
        <v>152</v>
      </c>
      <c r="AH56" s="6" t="s">
        <v>152</v>
      </c>
      <c r="AI56" s="6" t="s">
        <v>152</v>
      </c>
      <c r="AJ56" s="6" t="s">
        <v>152</v>
      </c>
      <c r="AK56" s="6" t="s">
        <v>152</v>
      </c>
      <c r="AL56" s="6" t="s">
        <v>152</v>
      </c>
      <c r="AM56" s="6" t="s">
        <v>152</v>
      </c>
      <c r="AN56" s="6" t="s">
        <v>152</v>
      </c>
      <c r="AO56" s="6" t="s">
        <v>152</v>
      </c>
      <c r="AP56" s="6" t="s">
        <v>152</v>
      </c>
      <c r="AQ56" s="6" t="s">
        <v>152</v>
      </c>
      <c r="AR56" s="6" t="s">
        <v>152</v>
      </c>
    </row>
    <row r="57" spans="1:44" x14ac:dyDescent="0.2">
      <c r="A57" s="1" t="str">
        <f ca="1">IFERROR(__xludf.DUMMYFUNCTION("""COMPUTED_VALUE"""),"Hercules")</f>
        <v>Hercules</v>
      </c>
      <c r="B57" s="6" t="s">
        <v>152</v>
      </c>
      <c r="C57" s="6" t="s">
        <v>152</v>
      </c>
      <c r="D57" s="6" t="s">
        <v>152</v>
      </c>
      <c r="E57" s="6" t="s">
        <v>152</v>
      </c>
      <c r="F57" s="6" t="s">
        <v>152</v>
      </c>
      <c r="G57" s="6" t="s">
        <v>152</v>
      </c>
      <c r="H57" s="6" t="s">
        <v>152</v>
      </c>
      <c r="I57" s="6" t="s">
        <v>152</v>
      </c>
      <c r="J57" s="6" t="s">
        <v>152</v>
      </c>
      <c r="K57" s="6" t="s">
        <v>152</v>
      </c>
      <c r="L57" s="6" t="s">
        <v>152</v>
      </c>
      <c r="M57" s="6" t="s">
        <v>152</v>
      </c>
      <c r="N57" s="6" t="s">
        <v>152</v>
      </c>
      <c r="O57" s="6" t="s">
        <v>152</v>
      </c>
      <c r="P57" s="6" t="s">
        <v>152</v>
      </c>
      <c r="Q57" s="6" t="s">
        <v>152</v>
      </c>
      <c r="R57" s="6" t="s">
        <v>152</v>
      </c>
      <c r="S57" s="6" t="s">
        <v>152</v>
      </c>
      <c r="T57" s="6" t="s">
        <v>152</v>
      </c>
      <c r="U57" s="6" t="s">
        <v>152</v>
      </c>
      <c r="V57" s="6" t="s">
        <v>152</v>
      </c>
      <c r="W57" s="6" t="s">
        <v>152</v>
      </c>
      <c r="X57" s="6" t="s">
        <v>152</v>
      </c>
      <c r="Y57" s="6" t="s">
        <v>152</v>
      </c>
      <c r="Z57" s="6" t="s">
        <v>152</v>
      </c>
      <c r="AA57" s="6" t="s">
        <v>152</v>
      </c>
      <c r="AB57" s="6" t="s">
        <v>152</v>
      </c>
      <c r="AC57" s="6" t="s">
        <v>152</v>
      </c>
      <c r="AD57" s="6" t="s">
        <v>152</v>
      </c>
      <c r="AE57" s="6" t="s">
        <v>152</v>
      </c>
      <c r="AF57" s="6" t="s">
        <v>152</v>
      </c>
      <c r="AG57" s="6" t="s">
        <v>152</v>
      </c>
      <c r="AH57" s="6" t="s">
        <v>152</v>
      </c>
      <c r="AI57" s="6" t="s">
        <v>152</v>
      </c>
      <c r="AJ57" s="6" t="s">
        <v>152</v>
      </c>
      <c r="AK57" s="6" t="s">
        <v>152</v>
      </c>
      <c r="AL57" s="6" t="s">
        <v>152</v>
      </c>
      <c r="AM57" s="6" t="s">
        <v>152</v>
      </c>
      <c r="AN57" s="6" t="s">
        <v>152</v>
      </c>
      <c r="AO57" s="6" t="s">
        <v>152</v>
      </c>
      <c r="AP57" s="9" t="s">
        <v>165</v>
      </c>
      <c r="AQ57" s="6" t="s">
        <v>152</v>
      </c>
      <c r="AR57" s="6" t="s">
        <v>152</v>
      </c>
    </row>
    <row r="58" spans="1:44" x14ac:dyDescent="0.2">
      <c r="A58" s="1" t="str">
        <f ca="1">IFERROR(__xludf.DUMMYFUNCTION("""COMPUTED_VALUE"""),"High Evolutionary")</f>
        <v>High Evolutionary</v>
      </c>
      <c r="B58" s="6" t="s">
        <v>152</v>
      </c>
      <c r="C58" s="6" t="s">
        <v>152</v>
      </c>
      <c r="D58" s="6" t="s">
        <v>152</v>
      </c>
      <c r="E58" s="6" t="s">
        <v>152</v>
      </c>
      <c r="F58" s="6" t="s">
        <v>152</v>
      </c>
      <c r="G58" s="9" t="s">
        <v>165</v>
      </c>
      <c r="H58" s="6" t="s">
        <v>152</v>
      </c>
      <c r="I58" s="6" t="s">
        <v>152</v>
      </c>
      <c r="J58" s="6" t="s">
        <v>152</v>
      </c>
      <c r="K58" s="6" t="s">
        <v>152</v>
      </c>
      <c r="L58" s="6" t="s">
        <v>152</v>
      </c>
      <c r="M58" s="6" t="s">
        <v>152</v>
      </c>
      <c r="N58" s="6" t="s">
        <v>152</v>
      </c>
      <c r="O58" s="6" t="s">
        <v>152</v>
      </c>
      <c r="P58" s="6" t="s">
        <v>152</v>
      </c>
      <c r="Q58" s="6" t="s">
        <v>152</v>
      </c>
      <c r="R58" s="6" t="s">
        <v>152</v>
      </c>
      <c r="S58" s="6" t="s">
        <v>152</v>
      </c>
      <c r="T58" s="6" t="s">
        <v>152</v>
      </c>
      <c r="U58" s="6" t="s">
        <v>152</v>
      </c>
      <c r="V58" s="6" t="s">
        <v>152</v>
      </c>
      <c r="W58" s="6" t="s">
        <v>152</v>
      </c>
      <c r="X58" s="9" t="s">
        <v>165</v>
      </c>
      <c r="Y58" s="6" t="s">
        <v>152</v>
      </c>
      <c r="Z58" s="6" t="s">
        <v>152</v>
      </c>
      <c r="AA58" s="6" t="s">
        <v>152</v>
      </c>
      <c r="AB58" s="6" t="s">
        <v>152</v>
      </c>
      <c r="AC58" s="6" t="s">
        <v>152</v>
      </c>
      <c r="AD58" s="6" t="s">
        <v>152</v>
      </c>
      <c r="AE58" s="6" t="s">
        <v>152</v>
      </c>
      <c r="AF58" s="6" t="s">
        <v>152</v>
      </c>
      <c r="AG58" s="6" t="s">
        <v>152</v>
      </c>
      <c r="AH58" s="6" t="s">
        <v>152</v>
      </c>
      <c r="AI58" s="6" t="s">
        <v>152</v>
      </c>
      <c r="AJ58" s="9" t="s">
        <v>165</v>
      </c>
      <c r="AK58" s="6" t="s">
        <v>152</v>
      </c>
      <c r="AL58" s="6" t="s">
        <v>152</v>
      </c>
      <c r="AM58" s="6" t="s">
        <v>152</v>
      </c>
      <c r="AN58" s="6" t="s">
        <v>152</v>
      </c>
      <c r="AO58" s="6" t="s">
        <v>152</v>
      </c>
      <c r="AP58" s="6" t="s">
        <v>152</v>
      </c>
      <c r="AQ58" s="6" t="s">
        <v>152</v>
      </c>
      <c r="AR58" s="6" t="s">
        <v>152</v>
      </c>
    </row>
    <row r="59" spans="1:44" x14ac:dyDescent="0.2">
      <c r="A59" s="1" t="str">
        <f ca="1">IFERROR(__xludf.DUMMYFUNCTION("""COMPUTED_VALUE"""),"Hobgoblin (Phil Urich)")</f>
        <v>Hobgoblin (Phil Urich)</v>
      </c>
      <c r="B59" s="6" t="s">
        <v>152</v>
      </c>
      <c r="C59" s="6" t="s">
        <v>152</v>
      </c>
      <c r="D59" s="6" t="s">
        <v>152</v>
      </c>
      <c r="E59" s="6" t="s">
        <v>152</v>
      </c>
      <c r="F59" s="6" t="s">
        <v>152</v>
      </c>
      <c r="G59" s="6" t="s">
        <v>152</v>
      </c>
      <c r="H59" s="6" t="s">
        <v>152</v>
      </c>
      <c r="I59" s="6" t="s">
        <v>152</v>
      </c>
      <c r="J59" s="6" t="s">
        <v>152</v>
      </c>
      <c r="K59" s="6" t="s">
        <v>152</v>
      </c>
      <c r="L59" s="6" t="s">
        <v>152</v>
      </c>
      <c r="M59" s="6" t="s">
        <v>152</v>
      </c>
      <c r="N59" s="6" t="s">
        <v>152</v>
      </c>
      <c r="O59" s="6" t="s">
        <v>152</v>
      </c>
      <c r="P59" s="6" t="s">
        <v>152</v>
      </c>
      <c r="Q59" s="6" t="s">
        <v>152</v>
      </c>
      <c r="R59" s="6" t="s">
        <v>152</v>
      </c>
      <c r="S59" s="6" t="s">
        <v>152</v>
      </c>
      <c r="T59" s="6" t="s">
        <v>152</v>
      </c>
      <c r="U59" s="6" t="s">
        <v>152</v>
      </c>
      <c r="V59" s="6" t="s">
        <v>152</v>
      </c>
      <c r="W59" s="6" t="s">
        <v>152</v>
      </c>
      <c r="X59" s="6" t="s">
        <v>152</v>
      </c>
      <c r="Y59" s="6" t="s">
        <v>152</v>
      </c>
      <c r="Z59" s="6" t="s">
        <v>152</v>
      </c>
      <c r="AA59" s="6" t="s">
        <v>152</v>
      </c>
      <c r="AB59" s="9" t="s">
        <v>165</v>
      </c>
      <c r="AC59" s="6" t="s">
        <v>152</v>
      </c>
      <c r="AD59" s="6" t="s">
        <v>152</v>
      </c>
      <c r="AE59" s="6" t="s">
        <v>152</v>
      </c>
      <c r="AF59" s="6" t="s">
        <v>152</v>
      </c>
      <c r="AG59" s="6" t="s">
        <v>152</v>
      </c>
      <c r="AH59" s="6" t="s">
        <v>152</v>
      </c>
      <c r="AI59" s="6" t="s">
        <v>152</v>
      </c>
      <c r="AJ59" s="6" t="s">
        <v>152</v>
      </c>
      <c r="AK59" s="6" t="s">
        <v>152</v>
      </c>
      <c r="AL59" s="6" t="s">
        <v>152</v>
      </c>
      <c r="AM59" s="6" t="s">
        <v>152</v>
      </c>
      <c r="AN59" s="6" t="s">
        <v>152</v>
      </c>
      <c r="AO59" s="6" t="s">
        <v>152</v>
      </c>
      <c r="AP59" s="6" t="s">
        <v>152</v>
      </c>
      <c r="AQ59" s="6" t="s">
        <v>152</v>
      </c>
      <c r="AR59" s="6" t="s">
        <v>152</v>
      </c>
    </row>
    <row r="60" spans="1:44" x14ac:dyDescent="0.2">
      <c r="A60" s="1" t="str">
        <f ca="1">IFERROR(__xludf.DUMMYFUNCTION("""COMPUTED_VALUE"""),"Howard The Duck")</f>
        <v>Howard The Duck</v>
      </c>
      <c r="B60" s="6" t="s">
        <v>152</v>
      </c>
      <c r="C60" s="6" t="s">
        <v>152</v>
      </c>
      <c r="D60" s="6" t="s">
        <v>152</v>
      </c>
      <c r="E60" s="6" t="s">
        <v>152</v>
      </c>
      <c r="F60" s="9" t="s">
        <v>165</v>
      </c>
      <c r="G60" s="6" t="s">
        <v>152</v>
      </c>
      <c r="H60" s="6" t="s">
        <v>152</v>
      </c>
      <c r="I60" s="6" t="s">
        <v>152</v>
      </c>
      <c r="J60" s="6" t="s">
        <v>152</v>
      </c>
      <c r="K60" s="6" t="s">
        <v>152</v>
      </c>
      <c r="L60" s="6" t="s">
        <v>152</v>
      </c>
      <c r="M60" s="6" t="s">
        <v>152</v>
      </c>
      <c r="N60" s="6" t="s">
        <v>152</v>
      </c>
      <c r="O60" s="6" t="s">
        <v>152</v>
      </c>
      <c r="P60" s="6" t="s">
        <v>152</v>
      </c>
      <c r="Q60" s="6" t="s">
        <v>152</v>
      </c>
      <c r="R60" s="6" t="s">
        <v>152</v>
      </c>
      <c r="S60" s="6" t="s">
        <v>152</v>
      </c>
      <c r="T60" s="6" t="s">
        <v>152</v>
      </c>
      <c r="U60" s="6" t="s">
        <v>152</v>
      </c>
      <c r="V60" s="6" t="s">
        <v>152</v>
      </c>
      <c r="W60" s="6" t="s">
        <v>152</v>
      </c>
      <c r="X60" s="6" t="s">
        <v>152</v>
      </c>
      <c r="Y60" s="6" t="s">
        <v>152</v>
      </c>
      <c r="Z60" s="6" t="s">
        <v>152</v>
      </c>
      <c r="AA60" s="6" t="s">
        <v>152</v>
      </c>
      <c r="AB60" s="6" t="s">
        <v>152</v>
      </c>
      <c r="AC60" s="6" t="s">
        <v>152</v>
      </c>
      <c r="AD60" s="6" t="s">
        <v>152</v>
      </c>
      <c r="AE60" s="6" t="s">
        <v>152</v>
      </c>
      <c r="AF60" s="6" t="s">
        <v>152</v>
      </c>
      <c r="AG60" s="6" t="s">
        <v>152</v>
      </c>
      <c r="AH60" s="6" t="s">
        <v>152</v>
      </c>
      <c r="AI60" s="6" t="s">
        <v>152</v>
      </c>
      <c r="AJ60" s="6" t="s">
        <v>152</v>
      </c>
      <c r="AK60" s="6" t="s">
        <v>152</v>
      </c>
      <c r="AL60" s="6" t="s">
        <v>152</v>
      </c>
      <c r="AM60" s="6" t="s">
        <v>152</v>
      </c>
      <c r="AN60" s="6" t="s">
        <v>152</v>
      </c>
      <c r="AO60" s="6" t="s">
        <v>152</v>
      </c>
      <c r="AP60" s="6" t="s">
        <v>152</v>
      </c>
      <c r="AQ60" s="6" t="s">
        <v>152</v>
      </c>
      <c r="AR60" s="6" t="s">
        <v>152</v>
      </c>
    </row>
    <row r="61" spans="1:44" x14ac:dyDescent="0.2">
      <c r="A61" s="1" t="str">
        <f ca="1">IFERROR(__xludf.DUMMYFUNCTION("""COMPUTED_VALUE"""),"Hulk")</f>
        <v>Hulk</v>
      </c>
      <c r="B61" s="6" t="s">
        <v>152</v>
      </c>
      <c r="C61" s="6" t="s">
        <v>152</v>
      </c>
      <c r="D61" s="6" t="s">
        <v>152</v>
      </c>
      <c r="E61" s="6" t="s">
        <v>152</v>
      </c>
      <c r="F61" s="6" t="s">
        <v>152</v>
      </c>
      <c r="G61" s="9" t="s">
        <v>165</v>
      </c>
      <c r="H61" s="6" t="s">
        <v>152</v>
      </c>
      <c r="I61" s="6" t="s">
        <v>152</v>
      </c>
      <c r="J61" s="6" t="s">
        <v>152</v>
      </c>
      <c r="K61" s="6" t="s">
        <v>152</v>
      </c>
      <c r="L61" s="6" t="s">
        <v>152</v>
      </c>
      <c r="M61" s="6" t="s">
        <v>152</v>
      </c>
      <c r="N61" s="6" t="s">
        <v>152</v>
      </c>
      <c r="O61" s="6" t="s">
        <v>152</v>
      </c>
      <c r="P61" s="9" t="s">
        <v>165</v>
      </c>
      <c r="Q61" s="6" t="s">
        <v>152</v>
      </c>
      <c r="R61" s="6" t="s">
        <v>152</v>
      </c>
      <c r="S61" s="6" t="s">
        <v>152</v>
      </c>
      <c r="T61" s="6" t="s">
        <v>152</v>
      </c>
      <c r="U61" s="6" t="s">
        <v>152</v>
      </c>
      <c r="V61" s="6" t="s">
        <v>152</v>
      </c>
      <c r="W61" s="6" t="s">
        <v>152</v>
      </c>
      <c r="X61" s="6" t="s">
        <v>152</v>
      </c>
      <c r="Y61" s="6" t="s">
        <v>152</v>
      </c>
      <c r="Z61" s="9" t="s">
        <v>165</v>
      </c>
      <c r="AA61" s="6" t="s">
        <v>152</v>
      </c>
      <c r="AB61" s="9" t="s">
        <v>165</v>
      </c>
      <c r="AC61" s="6" t="s">
        <v>152</v>
      </c>
      <c r="AD61" s="6" t="s">
        <v>152</v>
      </c>
      <c r="AE61" s="6" t="s">
        <v>152</v>
      </c>
      <c r="AF61" s="6" t="s">
        <v>152</v>
      </c>
      <c r="AG61" s="6" t="s">
        <v>152</v>
      </c>
      <c r="AH61" s="6" t="s">
        <v>152</v>
      </c>
      <c r="AI61" s="9" t="s">
        <v>165</v>
      </c>
      <c r="AJ61" s="6" t="s">
        <v>152</v>
      </c>
      <c r="AK61" s="6" t="s">
        <v>152</v>
      </c>
      <c r="AL61" s="6" t="s">
        <v>152</v>
      </c>
      <c r="AM61" s="6" t="s">
        <v>152</v>
      </c>
      <c r="AN61" s="6" t="s">
        <v>152</v>
      </c>
      <c r="AO61" s="9" t="s">
        <v>165</v>
      </c>
      <c r="AP61" s="6" t="s">
        <v>152</v>
      </c>
      <c r="AQ61" s="6" t="s">
        <v>152</v>
      </c>
      <c r="AR61" s="6" t="s">
        <v>152</v>
      </c>
    </row>
    <row r="62" spans="1:44" x14ac:dyDescent="0.2">
      <c r="A62" s="1" t="str">
        <f ca="1">IFERROR(__xludf.DUMMYFUNCTION("""COMPUTED_VALUE"""),"Hulk (Immortal)")</f>
        <v>Hulk (Immortal)</v>
      </c>
      <c r="B62" s="6" t="s">
        <v>152</v>
      </c>
      <c r="C62" s="6" t="s">
        <v>152</v>
      </c>
      <c r="D62" s="6" t="s">
        <v>152</v>
      </c>
      <c r="E62" s="6" t="s">
        <v>152</v>
      </c>
      <c r="F62" s="6" t="s">
        <v>152</v>
      </c>
      <c r="G62" s="6" t="s">
        <v>152</v>
      </c>
      <c r="H62" s="6" t="s">
        <v>152</v>
      </c>
      <c r="I62" s="6" t="s">
        <v>152</v>
      </c>
      <c r="J62" s="6" t="s">
        <v>152</v>
      </c>
      <c r="K62" s="6" t="s">
        <v>152</v>
      </c>
      <c r="L62" s="6" t="s">
        <v>152</v>
      </c>
      <c r="M62" s="6" t="s">
        <v>152</v>
      </c>
      <c r="N62" s="6" t="s">
        <v>152</v>
      </c>
      <c r="O62" s="6" t="s">
        <v>152</v>
      </c>
      <c r="P62" s="6" t="s">
        <v>152</v>
      </c>
      <c r="Q62" s="6" t="s">
        <v>152</v>
      </c>
      <c r="R62" s="6" t="s">
        <v>152</v>
      </c>
      <c r="S62" s="6" t="s">
        <v>152</v>
      </c>
      <c r="T62" s="6" t="s">
        <v>152</v>
      </c>
      <c r="U62" s="6" t="s">
        <v>152</v>
      </c>
      <c r="V62" s="6" t="s">
        <v>152</v>
      </c>
      <c r="W62" s="6" t="s">
        <v>152</v>
      </c>
      <c r="X62" s="6" t="s">
        <v>152</v>
      </c>
      <c r="Y62" s="6" t="s">
        <v>152</v>
      </c>
      <c r="Z62" s="6" t="s">
        <v>152</v>
      </c>
      <c r="AA62" s="6" t="s">
        <v>152</v>
      </c>
      <c r="AB62" s="9" t="s">
        <v>165</v>
      </c>
      <c r="AC62" s="6" t="s">
        <v>152</v>
      </c>
      <c r="AD62" s="6" t="s">
        <v>152</v>
      </c>
      <c r="AE62" s="6" t="s">
        <v>152</v>
      </c>
      <c r="AF62" s="6" t="s">
        <v>152</v>
      </c>
      <c r="AG62" s="6" t="s">
        <v>152</v>
      </c>
      <c r="AH62" s="6" t="s">
        <v>152</v>
      </c>
      <c r="AI62" s="9" t="s">
        <v>165</v>
      </c>
      <c r="AJ62" s="6" t="s">
        <v>152</v>
      </c>
      <c r="AK62" s="6" t="s">
        <v>152</v>
      </c>
      <c r="AL62" s="6" t="s">
        <v>152</v>
      </c>
      <c r="AM62" s="6" t="s">
        <v>152</v>
      </c>
      <c r="AN62" s="6" t="s">
        <v>152</v>
      </c>
      <c r="AO62" s="6" t="s">
        <v>152</v>
      </c>
      <c r="AP62" s="6" t="s">
        <v>152</v>
      </c>
      <c r="AQ62" s="6" t="s">
        <v>152</v>
      </c>
      <c r="AR62" s="6" t="s">
        <v>152</v>
      </c>
    </row>
    <row r="63" spans="1:44" x14ac:dyDescent="0.2">
      <c r="A63" s="1" t="str">
        <f ca="1">IFERROR(__xludf.DUMMYFUNCTION("""COMPUTED_VALUE"""),"Hulk (Ragnarok)")</f>
        <v>Hulk (Ragnarok)</v>
      </c>
      <c r="B63" s="6" t="s">
        <v>152</v>
      </c>
      <c r="C63" s="6" t="s">
        <v>152</v>
      </c>
      <c r="D63" s="6" t="s">
        <v>152</v>
      </c>
      <c r="E63" s="6" t="s">
        <v>152</v>
      </c>
      <c r="F63" s="6" t="s">
        <v>152</v>
      </c>
      <c r="G63" s="6" t="s">
        <v>152</v>
      </c>
      <c r="H63" s="6" t="s">
        <v>152</v>
      </c>
      <c r="I63" s="6" t="s">
        <v>152</v>
      </c>
      <c r="J63" s="6" t="s">
        <v>152</v>
      </c>
      <c r="K63" s="6" t="s">
        <v>152</v>
      </c>
      <c r="L63" s="6" t="s">
        <v>152</v>
      </c>
      <c r="M63" s="6" t="s">
        <v>152</v>
      </c>
      <c r="N63" s="6" t="s">
        <v>152</v>
      </c>
      <c r="O63" s="6" t="s">
        <v>152</v>
      </c>
      <c r="P63" s="6" t="s">
        <v>152</v>
      </c>
      <c r="Q63" s="6" t="s">
        <v>152</v>
      </c>
      <c r="R63" s="6" t="s">
        <v>152</v>
      </c>
      <c r="S63" s="6" t="s">
        <v>152</v>
      </c>
      <c r="T63" s="6" t="s">
        <v>152</v>
      </c>
      <c r="U63" s="6" t="s">
        <v>152</v>
      </c>
      <c r="V63" s="6" t="s">
        <v>152</v>
      </c>
      <c r="W63" s="6" t="s">
        <v>152</v>
      </c>
      <c r="X63" s="6" t="s">
        <v>152</v>
      </c>
      <c r="Y63" s="6" t="s">
        <v>152</v>
      </c>
      <c r="Z63" s="6" t="s">
        <v>152</v>
      </c>
      <c r="AA63" s="6" t="s">
        <v>152</v>
      </c>
      <c r="AB63" s="9" t="s">
        <v>165</v>
      </c>
      <c r="AC63" s="6" t="s">
        <v>152</v>
      </c>
      <c r="AD63" s="6" t="s">
        <v>152</v>
      </c>
      <c r="AE63" s="6" t="s">
        <v>152</v>
      </c>
      <c r="AF63" s="6" t="s">
        <v>152</v>
      </c>
      <c r="AG63" s="6" t="s">
        <v>152</v>
      </c>
      <c r="AH63" s="6" t="s">
        <v>152</v>
      </c>
      <c r="AI63" s="9" t="s">
        <v>165</v>
      </c>
      <c r="AJ63" s="6" t="s">
        <v>152</v>
      </c>
      <c r="AK63" s="6" t="s">
        <v>152</v>
      </c>
      <c r="AL63" s="6" t="s">
        <v>152</v>
      </c>
      <c r="AM63" s="6" t="s">
        <v>152</v>
      </c>
      <c r="AN63" s="6" t="s">
        <v>152</v>
      </c>
      <c r="AO63" s="6" t="s">
        <v>152</v>
      </c>
      <c r="AP63" s="6" t="s">
        <v>152</v>
      </c>
      <c r="AQ63" s="6" t="s">
        <v>152</v>
      </c>
      <c r="AR63" s="6" t="s">
        <v>152</v>
      </c>
    </row>
    <row r="64" spans="1:44" x14ac:dyDescent="0.2">
      <c r="A64" s="1" t="str">
        <f ca="1">IFERROR(__xludf.DUMMYFUNCTION("""COMPUTED_VALUE"""),"Hulkbuster")</f>
        <v>Hulkbuster</v>
      </c>
      <c r="B64" s="6" t="s">
        <v>152</v>
      </c>
      <c r="C64" s="6" t="s">
        <v>152</v>
      </c>
      <c r="D64" s="6" t="s">
        <v>152</v>
      </c>
      <c r="E64" s="6" t="s">
        <v>152</v>
      </c>
      <c r="F64" s="6" t="s">
        <v>152</v>
      </c>
      <c r="G64" s="6" t="s">
        <v>152</v>
      </c>
      <c r="H64" s="6" t="s">
        <v>152</v>
      </c>
      <c r="I64" s="6" t="s">
        <v>152</v>
      </c>
      <c r="J64" s="6" t="s">
        <v>152</v>
      </c>
      <c r="K64" s="6" t="s">
        <v>152</v>
      </c>
      <c r="L64" s="6" t="s">
        <v>152</v>
      </c>
      <c r="M64" s="6" t="s">
        <v>152</v>
      </c>
      <c r="N64" s="6" t="s">
        <v>152</v>
      </c>
      <c r="O64" s="6" t="s">
        <v>152</v>
      </c>
      <c r="P64" s="9" t="s">
        <v>165</v>
      </c>
      <c r="Q64" s="6" t="s">
        <v>152</v>
      </c>
      <c r="R64" s="6" t="s">
        <v>152</v>
      </c>
      <c r="S64" s="6" t="s">
        <v>152</v>
      </c>
      <c r="T64" s="6" t="s">
        <v>152</v>
      </c>
      <c r="U64" s="6" t="s">
        <v>152</v>
      </c>
      <c r="V64" s="6" t="s">
        <v>152</v>
      </c>
      <c r="W64" s="6" t="s">
        <v>152</v>
      </c>
      <c r="X64" s="6" t="s">
        <v>152</v>
      </c>
      <c r="Y64" s="6" t="s">
        <v>152</v>
      </c>
      <c r="Z64" s="9" t="s">
        <v>165</v>
      </c>
      <c r="AA64" s="6" t="s">
        <v>152</v>
      </c>
      <c r="AB64" s="6" t="s">
        <v>152</v>
      </c>
      <c r="AC64" s="6" t="s">
        <v>152</v>
      </c>
      <c r="AD64" s="6" t="s">
        <v>152</v>
      </c>
      <c r="AE64" s="6" t="s">
        <v>152</v>
      </c>
      <c r="AF64" s="6" t="s">
        <v>152</v>
      </c>
      <c r="AG64" s="6" t="s">
        <v>152</v>
      </c>
      <c r="AH64" s="6" t="s">
        <v>152</v>
      </c>
      <c r="AI64" s="6" t="s">
        <v>152</v>
      </c>
      <c r="AJ64" s="6" t="s">
        <v>152</v>
      </c>
      <c r="AK64" s="6" t="s">
        <v>152</v>
      </c>
      <c r="AL64" s="6" t="s">
        <v>152</v>
      </c>
      <c r="AM64" s="6" t="s">
        <v>152</v>
      </c>
      <c r="AN64" s="6" t="s">
        <v>152</v>
      </c>
      <c r="AO64" s="9" t="s">
        <v>165</v>
      </c>
      <c r="AP64" s="6" t="s">
        <v>152</v>
      </c>
      <c r="AQ64" s="6" t="s">
        <v>152</v>
      </c>
      <c r="AR64" s="6" t="s">
        <v>152</v>
      </c>
    </row>
    <row r="65" spans="1:44" x14ac:dyDescent="0.2">
      <c r="A65" s="1" t="str">
        <f ca="1">IFERROR(__xludf.DUMMYFUNCTION("""COMPUTED_VALUE"""),"Hulkling")</f>
        <v>Hulkling</v>
      </c>
      <c r="B65" s="6" t="s">
        <v>152</v>
      </c>
      <c r="C65" s="6" t="s">
        <v>152</v>
      </c>
      <c r="D65" s="6" t="s">
        <v>152</v>
      </c>
      <c r="E65" s="6" t="s">
        <v>152</v>
      </c>
      <c r="F65" s="6" t="s">
        <v>152</v>
      </c>
      <c r="G65" s="6" t="s">
        <v>152</v>
      </c>
      <c r="H65" s="6" t="s">
        <v>152</v>
      </c>
      <c r="I65" s="6" t="s">
        <v>152</v>
      </c>
      <c r="J65" s="6" t="s">
        <v>152</v>
      </c>
      <c r="K65" s="6" t="s">
        <v>152</v>
      </c>
      <c r="L65" s="6" t="s">
        <v>152</v>
      </c>
      <c r="M65" s="6" t="s">
        <v>152</v>
      </c>
      <c r="N65" s="6" t="s">
        <v>152</v>
      </c>
      <c r="O65" s="6" t="s">
        <v>152</v>
      </c>
      <c r="P65" s="6" t="s">
        <v>152</v>
      </c>
      <c r="Q65" s="6" t="s">
        <v>152</v>
      </c>
      <c r="R65" s="6" t="s">
        <v>152</v>
      </c>
      <c r="S65" s="6" t="s">
        <v>152</v>
      </c>
      <c r="T65" s="6" t="s">
        <v>152</v>
      </c>
      <c r="U65" s="6" t="s">
        <v>152</v>
      </c>
      <c r="V65" s="6" t="s">
        <v>152</v>
      </c>
      <c r="W65" s="6" t="s">
        <v>152</v>
      </c>
      <c r="X65" s="6" t="s">
        <v>152</v>
      </c>
      <c r="Y65" s="6" t="s">
        <v>152</v>
      </c>
      <c r="Z65" s="6" t="s">
        <v>152</v>
      </c>
      <c r="AA65" s="6" t="s">
        <v>152</v>
      </c>
      <c r="AB65" s="9" t="s">
        <v>165</v>
      </c>
      <c r="AC65" s="9" t="s">
        <v>165</v>
      </c>
      <c r="AD65" s="9" t="s">
        <v>165</v>
      </c>
      <c r="AE65" s="6" t="s">
        <v>152</v>
      </c>
      <c r="AF65" s="9" t="s">
        <v>165</v>
      </c>
      <c r="AG65" s="6" t="s">
        <v>152</v>
      </c>
      <c r="AH65" s="6" t="s">
        <v>152</v>
      </c>
      <c r="AI65" s="6" t="s">
        <v>152</v>
      </c>
      <c r="AJ65" s="6" t="s">
        <v>152</v>
      </c>
      <c r="AK65" s="9" t="s">
        <v>165</v>
      </c>
      <c r="AL65" s="6" t="s">
        <v>152</v>
      </c>
      <c r="AM65" s="6" t="s">
        <v>152</v>
      </c>
      <c r="AN65" s="6" t="s">
        <v>152</v>
      </c>
      <c r="AO65" s="6" t="s">
        <v>152</v>
      </c>
      <c r="AP65" s="9" t="s">
        <v>165</v>
      </c>
      <c r="AQ65" s="6" t="s">
        <v>152</v>
      </c>
      <c r="AR65" s="6" t="s">
        <v>152</v>
      </c>
    </row>
    <row r="66" spans="1:44" x14ac:dyDescent="0.2">
      <c r="A66" s="1" t="str">
        <f ca="1">IFERROR(__xludf.DUMMYFUNCTION("""COMPUTED_VALUE"""),"Human Torch")</f>
        <v>Human Torch</v>
      </c>
      <c r="B66" s="6" t="s">
        <v>152</v>
      </c>
      <c r="C66" s="6" t="s">
        <v>152</v>
      </c>
      <c r="D66" s="6" t="s">
        <v>152</v>
      </c>
      <c r="E66" s="6" t="s">
        <v>152</v>
      </c>
      <c r="F66" s="6" t="s">
        <v>152</v>
      </c>
      <c r="G66" s="6" t="s">
        <v>152</v>
      </c>
      <c r="H66" s="9" t="s">
        <v>165</v>
      </c>
      <c r="I66" s="6" t="s">
        <v>152</v>
      </c>
      <c r="J66" s="6" t="s">
        <v>152</v>
      </c>
      <c r="K66" s="6" t="s">
        <v>152</v>
      </c>
      <c r="L66" s="6" t="s">
        <v>152</v>
      </c>
      <c r="M66" s="6" t="s">
        <v>152</v>
      </c>
      <c r="N66" s="6" t="s">
        <v>152</v>
      </c>
      <c r="O66" s="6" t="s">
        <v>152</v>
      </c>
      <c r="P66" s="6" t="s">
        <v>152</v>
      </c>
      <c r="Q66" s="6" t="s">
        <v>152</v>
      </c>
      <c r="R66" s="9" t="s">
        <v>165</v>
      </c>
      <c r="S66" s="6" t="s">
        <v>152</v>
      </c>
      <c r="T66" s="9" t="s">
        <v>165</v>
      </c>
      <c r="U66" s="6" t="s">
        <v>152</v>
      </c>
      <c r="V66" s="6" t="s">
        <v>152</v>
      </c>
      <c r="W66" s="6" t="s">
        <v>152</v>
      </c>
      <c r="X66" s="6" t="s">
        <v>152</v>
      </c>
      <c r="Y66" s="6" t="s">
        <v>152</v>
      </c>
      <c r="Z66" s="6" t="s">
        <v>152</v>
      </c>
      <c r="AA66" s="6" t="s">
        <v>152</v>
      </c>
      <c r="AB66" s="6" t="s">
        <v>152</v>
      </c>
      <c r="AC66" s="6" t="s">
        <v>152</v>
      </c>
      <c r="AD66" s="6" t="s">
        <v>152</v>
      </c>
      <c r="AE66" s="6" t="s">
        <v>152</v>
      </c>
      <c r="AF66" s="6" t="s">
        <v>152</v>
      </c>
      <c r="AG66" s="6" t="s">
        <v>152</v>
      </c>
      <c r="AH66" s="6" t="s">
        <v>152</v>
      </c>
      <c r="AI66" s="6" t="s">
        <v>152</v>
      </c>
      <c r="AJ66" s="6" t="s">
        <v>152</v>
      </c>
      <c r="AK66" s="6" t="s">
        <v>152</v>
      </c>
      <c r="AL66" s="6" t="s">
        <v>152</v>
      </c>
      <c r="AM66" s="6" t="s">
        <v>152</v>
      </c>
      <c r="AN66" s="6" t="s">
        <v>152</v>
      </c>
      <c r="AO66" s="6" t="s">
        <v>152</v>
      </c>
      <c r="AP66" s="6" t="s">
        <v>152</v>
      </c>
      <c r="AQ66" s="6" t="s">
        <v>152</v>
      </c>
      <c r="AR66" s="6" t="s">
        <v>152</v>
      </c>
    </row>
    <row r="67" spans="1:44" x14ac:dyDescent="0.2">
      <c r="A67" s="1" t="str">
        <f ca="1">IFERROR(__xludf.DUMMYFUNCTION("""COMPUTED_VALUE"""),"Hyperion")</f>
        <v>Hyperion</v>
      </c>
      <c r="B67" s="6" t="s">
        <v>152</v>
      </c>
      <c r="C67" s="6" t="s">
        <v>152</v>
      </c>
      <c r="D67" s="6" t="s">
        <v>152</v>
      </c>
      <c r="E67" s="6" t="s">
        <v>152</v>
      </c>
      <c r="F67" s="6" t="s">
        <v>152</v>
      </c>
      <c r="G67" s="6" t="s">
        <v>152</v>
      </c>
      <c r="H67" s="6" t="s">
        <v>152</v>
      </c>
      <c r="I67" s="6" t="s">
        <v>152</v>
      </c>
      <c r="J67" s="6" t="s">
        <v>152</v>
      </c>
      <c r="K67" s="6" t="s">
        <v>152</v>
      </c>
      <c r="L67" s="6" t="s">
        <v>152</v>
      </c>
      <c r="M67" s="6" t="s">
        <v>152</v>
      </c>
      <c r="N67" s="6" t="s">
        <v>152</v>
      </c>
      <c r="O67" s="6" t="s">
        <v>152</v>
      </c>
      <c r="P67" s="6" t="s">
        <v>152</v>
      </c>
      <c r="Q67" s="6" t="s">
        <v>152</v>
      </c>
      <c r="R67" s="6" t="s">
        <v>152</v>
      </c>
      <c r="S67" s="6" t="s">
        <v>152</v>
      </c>
      <c r="T67" s="6" t="s">
        <v>152</v>
      </c>
      <c r="U67" s="6" t="s">
        <v>152</v>
      </c>
      <c r="V67" s="6" t="s">
        <v>152</v>
      </c>
      <c r="W67" s="6" t="s">
        <v>152</v>
      </c>
      <c r="X67" s="6" t="s">
        <v>152</v>
      </c>
      <c r="Y67" s="6" t="s">
        <v>152</v>
      </c>
      <c r="Z67" s="6" t="s">
        <v>152</v>
      </c>
      <c r="AA67" s="6" t="s">
        <v>152</v>
      </c>
      <c r="AB67" s="9" t="s">
        <v>165</v>
      </c>
      <c r="AC67" s="6" t="s">
        <v>152</v>
      </c>
      <c r="AD67" s="6" t="s">
        <v>152</v>
      </c>
      <c r="AE67" s="6" t="s">
        <v>152</v>
      </c>
      <c r="AF67" s="6" t="s">
        <v>152</v>
      </c>
      <c r="AG67" s="6" t="s">
        <v>152</v>
      </c>
      <c r="AH67" s="6" t="s">
        <v>152</v>
      </c>
      <c r="AI67" s="6" t="s">
        <v>152</v>
      </c>
      <c r="AJ67" s="6" t="s">
        <v>152</v>
      </c>
      <c r="AK67" s="6" t="s">
        <v>152</v>
      </c>
      <c r="AL67" s="6" t="s">
        <v>152</v>
      </c>
      <c r="AM67" s="6" t="s">
        <v>152</v>
      </c>
      <c r="AN67" s="6" t="s">
        <v>152</v>
      </c>
      <c r="AO67" s="6" t="s">
        <v>152</v>
      </c>
      <c r="AP67" s="6" t="s">
        <v>152</v>
      </c>
      <c r="AQ67" s="6" t="s">
        <v>152</v>
      </c>
      <c r="AR67" s="6" t="s">
        <v>152</v>
      </c>
    </row>
    <row r="68" spans="1:44" x14ac:dyDescent="0.2">
      <c r="A68" s="1" t="str">
        <f ca="1">IFERROR(__xludf.DUMMYFUNCTION("""COMPUTED_VALUE"""),"Iceman")</f>
        <v>Iceman</v>
      </c>
      <c r="B68" s="6" t="s">
        <v>152</v>
      </c>
      <c r="C68" s="6" t="s">
        <v>152</v>
      </c>
      <c r="D68" s="6" t="s">
        <v>152</v>
      </c>
      <c r="E68" s="6" t="s">
        <v>152</v>
      </c>
      <c r="F68" s="9" t="s">
        <v>165</v>
      </c>
      <c r="G68" s="6" t="s">
        <v>152</v>
      </c>
      <c r="H68" s="9" t="s">
        <v>165</v>
      </c>
      <c r="I68" s="6" t="s">
        <v>152</v>
      </c>
      <c r="J68" s="6" t="s">
        <v>152</v>
      </c>
      <c r="K68" s="6" t="s">
        <v>152</v>
      </c>
      <c r="L68" s="6" t="s">
        <v>152</v>
      </c>
      <c r="M68" s="6" t="s">
        <v>152</v>
      </c>
      <c r="N68" s="6" t="s">
        <v>152</v>
      </c>
      <c r="O68" s="6" t="s">
        <v>152</v>
      </c>
      <c r="P68" s="6" t="s">
        <v>152</v>
      </c>
      <c r="Q68" s="6" t="s">
        <v>152</v>
      </c>
      <c r="R68" s="9" t="s">
        <v>165</v>
      </c>
      <c r="S68" s="6" t="s">
        <v>152</v>
      </c>
      <c r="T68" s="9" t="s">
        <v>165</v>
      </c>
      <c r="U68" s="6" t="s">
        <v>152</v>
      </c>
      <c r="V68" s="6" t="s">
        <v>152</v>
      </c>
      <c r="W68" s="6" t="s">
        <v>152</v>
      </c>
      <c r="X68" s="6" t="s">
        <v>152</v>
      </c>
      <c r="Y68" s="9" t="s">
        <v>165</v>
      </c>
      <c r="Z68" s="6" t="s">
        <v>152</v>
      </c>
      <c r="AA68" s="6" t="s">
        <v>152</v>
      </c>
      <c r="AB68" s="9" t="s">
        <v>165</v>
      </c>
      <c r="AC68" s="6" t="s">
        <v>152</v>
      </c>
      <c r="AD68" s="6" t="s">
        <v>152</v>
      </c>
      <c r="AE68" s="6" t="s">
        <v>152</v>
      </c>
      <c r="AF68" s="6" t="s">
        <v>152</v>
      </c>
      <c r="AG68" s="6" t="s">
        <v>152</v>
      </c>
      <c r="AH68" s="6" t="s">
        <v>152</v>
      </c>
      <c r="AI68" s="6" t="s">
        <v>152</v>
      </c>
      <c r="AJ68" s="6" t="s">
        <v>152</v>
      </c>
      <c r="AK68" s="6" t="s">
        <v>152</v>
      </c>
      <c r="AL68" s="6" t="s">
        <v>152</v>
      </c>
      <c r="AM68" s="6" t="s">
        <v>152</v>
      </c>
      <c r="AN68" s="6" t="s">
        <v>152</v>
      </c>
      <c r="AO68" s="6" t="s">
        <v>152</v>
      </c>
      <c r="AP68" s="6" t="s">
        <v>152</v>
      </c>
      <c r="AQ68" s="6" t="s">
        <v>152</v>
      </c>
      <c r="AR68" s="6" t="s">
        <v>152</v>
      </c>
    </row>
    <row r="69" spans="1:44" x14ac:dyDescent="0.2">
      <c r="A69" s="1" t="str">
        <f ca="1">IFERROR(__xludf.DUMMYFUNCTION("""COMPUTED_VALUE"""),"Ikaris")</f>
        <v>Ikaris</v>
      </c>
      <c r="B69" s="6" t="s">
        <v>152</v>
      </c>
      <c r="C69" s="6" t="s">
        <v>152</v>
      </c>
      <c r="D69" s="6" t="s">
        <v>152</v>
      </c>
      <c r="E69" s="6" t="s">
        <v>152</v>
      </c>
      <c r="F69" s="6" t="s">
        <v>152</v>
      </c>
      <c r="G69" s="6" t="s">
        <v>152</v>
      </c>
      <c r="H69" s="6" t="s">
        <v>152</v>
      </c>
      <c r="I69" s="6" t="s">
        <v>152</v>
      </c>
      <c r="J69" s="6" t="s">
        <v>152</v>
      </c>
      <c r="K69" s="6" t="s">
        <v>152</v>
      </c>
      <c r="L69" s="6" t="s">
        <v>152</v>
      </c>
      <c r="M69" s="6" t="s">
        <v>152</v>
      </c>
      <c r="N69" s="6" t="s">
        <v>152</v>
      </c>
      <c r="O69" s="6" t="s">
        <v>152</v>
      </c>
      <c r="P69" s="6" t="s">
        <v>152</v>
      </c>
      <c r="Q69" s="6" t="s">
        <v>152</v>
      </c>
      <c r="R69" s="6" t="s">
        <v>152</v>
      </c>
      <c r="S69" s="6" t="s">
        <v>152</v>
      </c>
      <c r="T69" s="9" t="s">
        <v>165</v>
      </c>
      <c r="U69" s="6" t="s">
        <v>152</v>
      </c>
      <c r="V69" s="6" t="s">
        <v>152</v>
      </c>
      <c r="W69" s="6" t="s">
        <v>152</v>
      </c>
      <c r="X69" s="6" t="s">
        <v>152</v>
      </c>
      <c r="Y69" s="6" t="s">
        <v>152</v>
      </c>
      <c r="Z69" s="6" t="s">
        <v>152</v>
      </c>
      <c r="AA69" s="6" t="s">
        <v>152</v>
      </c>
      <c r="AB69" s="6" t="s">
        <v>152</v>
      </c>
      <c r="AC69" s="6" t="s">
        <v>152</v>
      </c>
      <c r="AD69" s="6" t="s">
        <v>152</v>
      </c>
      <c r="AE69" s="6" t="s">
        <v>152</v>
      </c>
      <c r="AF69" s="6" t="s">
        <v>152</v>
      </c>
      <c r="AG69" s="6" t="s">
        <v>152</v>
      </c>
      <c r="AH69" s="6" t="s">
        <v>152</v>
      </c>
      <c r="AI69" s="6" t="s">
        <v>152</v>
      </c>
      <c r="AJ69" s="6" t="s">
        <v>152</v>
      </c>
      <c r="AK69" s="9" t="s">
        <v>165</v>
      </c>
      <c r="AL69" s="6" t="s">
        <v>152</v>
      </c>
      <c r="AM69" s="6" t="s">
        <v>152</v>
      </c>
      <c r="AN69" s="6" t="s">
        <v>152</v>
      </c>
      <c r="AO69" s="6" t="s">
        <v>152</v>
      </c>
      <c r="AP69" s="6" t="s">
        <v>152</v>
      </c>
      <c r="AQ69" s="6" t="s">
        <v>152</v>
      </c>
      <c r="AR69" s="6" t="s">
        <v>152</v>
      </c>
    </row>
    <row r="70" spans="1:44" x14ac:dyDescent="0.2">
      <c r="A70" s="1" t="str">
        <f ca="1">IFERROR(__xludf.DUMMYFUNCTION("""COMPUTED_VALUE"""),"Imperiosa")</f>
        <v>Imperiosa</v>
      </c>
      <c r="B70" s="6" t="s">
        <v>152</v>
      </c>
      <c r="C70" s="6" t="s">
        <v>152</v>
      </c>
      <c r="D70" s="6" t="s">
        <v>152</v>
      </c>
      <c r="E70" s="6" t="s">
        <v>152</v>
      </c>
      <c r="F70" s="9" t="s">
        <v>165</v>
      </c>
      <c r="G70" s="6" t="s">
        <v>152</v>
      </c>
      <c r="H70" s="6" t="s">
        <v>152</v>
      </c>
      <c r="I70" s="6" t="s">
        <v>152</v>
      </c>
      <c r="J70" s="6" t="s">
        <v>152</v>
      </c>
      <c r="K70" s="6" t="s">
        <v>152</v>
      </c>
      <c r="L70" s="6" t="s">
        <v>152</v>
      </c>
      <c r="M70" s="9" t="s">
        <v>165</v>
      </c>
      <c r="N70" s="6" t="s">
        <v>152</v>
      </c>
      <c r="O70" s="6" t="s">
        <v>152</v>
      </c>
      <c r="P70" s="6" t="s">
        <v>152</v>
      </c>
      <c r="Q70" s="6" t="s">
        <v>152</v>
      </c>
      <c r="R70" s="6" t="s">
        <v>152</v>
      </c>
      <c r="S70" s="6" t="s">
        <v>152</v>
      </c>
      <c r="T70" s="6" t="s">
        <v>152</v>
      </c>
      <c r="U70" s="6" t="s">
        <v>152</v>
      </c>
      <c r="V70" s="6" t="s">
        <v>152</v>
      </c>
      <c r="W70" s="6" t="s">
        <v>152</v>
      </c>
      <c r="X70" s="6" t="s">
        <v>152</v>
      </c>
      <c r="Y70" s="6" t="s">
        <v>152</v>
      </c>
      <c r="Z70" s="6" t="s">
        <v>152</v>
      </c>
      <c r="AA70" s="6" t="s">
        <v>152</v>
      </c>
      <c r="AB70" s="6" t="s">
        <v>152</v>
      </c>
      <c r="AC70" s="6" t="s">
        <v>152</v>
      </c>
      <c r="AD70" s="9" t="s">
        <v>165</v>
      </c>
      <c r="AE70" s="6" t="s">
        <v>152</v>
      </c>
      <c r="AF70" s="6" t="s">
        <v>152</v>
      </c>
      <c r="AG70" s="6" t="s">
        <v>152</v>
      </c>
      <c r="AH70" s="6" t="s">
        <v>152</v>
      </c>
      <c r="AI70" s="6" t="s">
        <v>152</v>
      </c>
      <c r="AJ70" s="6" t="s">
        <v>152</v>
      </c>
      <c r="AK70" s="6" t="s">
        <v>152</v>
      </c>
      <c r="AL70" s="6" t="s">
        <v>152</v>
      </c>
      <c r="AM70" s="9" t="s">
        <v>165</v>
      </c>
      <c r="AN70" s="6" t="s">
        <v>152</v>
      </c>
      <c r="AO70" s="6" t="s">
        <v>152</v>
      </c>
      <c r="AP70" s="6" t="s">
        <v>152</v>
      </c>
      <c r="AQ70" s="6" t="s">
        <v>152</v>
      </c>
      <c r="AR70" s="6" t="s">
        <v>152</v>
      </c>
    </row>
    <row r="71" spans="1:44" x14ac:dyDescent="0.2">
      <c r="A71" s="1" t="str">
        <f ca="1">IFERROR(__xludf.DUMMYFUNCTION("""COMPUTED_VALUE"""),"Iron Man (Infamous)")</f>
        <v>Iron Man (Infamous)</v>
      </c>
      <c r="B71" s="6" t="s">
        <v>152</v>
      </c>
      <c r="C71" s="6" t="s">
        <v>152</v>
      </c>
      <c r="D71" s="6" t="s">
        <v>152</v>
      </c>
      <c r="E71" s="6" t="s">
        <v>152</v>
      </c>
      <c r="F71" s="6" t="s">
        <v>152</v>
      </c>
      <c r="G71" s="6" t="s">
        <v>152</v>
      </c>
      <c r="H71" s="6" t="s">
        <v>152</v>
      </c>
      <c r="I71" s="6" t="s">
        <v>152</v>
      </c>
      <c r="J71" s="6" t="s">
        <v>152</v>
      </c>
      <c r="K71" s="6" t="s">
        <v>152</v>
      </c>
      <c r="L71" s="6" t="s">
        <v>152</v>
      </c>
      <c r="M71" s="6" t="s">
        <v>152</v>
      </c>
      <c r="N71" s="6" t="s">
        <v>152</v>
      </c>
      <c r="O71" s="6" t="s">
        <v>152</v>
      </c>
      <c r="P71" s="6" t="s">
        <v>152</v>
      </c>
      <c r="Q71" s="6" t="s">
        <v>152</v>
      </c>
      <c r="R71" s="6" t="s">
        <v>152</v>
      </c>
      <c r="S71" s="6" t="s">
        <v>152</v>
      </c>
      <c r="T71" s="9" t="s">
        <v>165</v>
      </c>
      <c r="U71" s="6" t="s">
        <v>152</v>
      </c>
      <c r="V71" s="6" t="s">
        <v>152</v>
      </c>
      <c r="W71" s="6" t="s">
        <v>152</v>
      </c>
      <c r="X71" s="6" t="s">
        <v>152</v>
      </c>
      <c r="Y71" s="6" t="s">
        <v>152</v>
      </c>
      <c r="Z71" s="6" t="s">
        <v>152</v>
      </c>
      <c r="AA71" s="6" t="s">
        <v>152</v>
      </c>
      <c r="AB71" s="6" t="s">
        <v>152</v>
      </c>
      <c r="AC71" s="6" t="s">
        <v>152</v>
      </c>
      <c r="AD71" s="6" t="s">
        <v>152</v>
      </c>
      <c r="AE71" s="6" t="s">
        <v>152</v>
      </c>
      <c r="AF71" s="6" t="s">
        <v>152</v>
      </c>
      <c r="AG71" s="6" t="s">
        <v>152</v>
      </c>
      <c r="AH71" s="6" t="s">
        <v>152</v>
      </c>
      <c r="AI71" s="6" t="s">
        <v>152</v>
      </c>
      <c r="AJ71" s="6" t="s">
        <v>152</v>
      </c>
      <c r="AK71" s="9" t="s">
        <v>165</v>
      </c>
      <c r="AL71" s="6" t="s">
        <v>152</v>
      </c>
      <c r="AM71" s="6" t="s">
        <v>152</v>
      </c>
      <c r="AN71" s="6" t="s">
        <v>152</v>
      </c>
      <c r="AO71" s="6" t="s">
        <v>152</v>
      </c>
      <c r="AP71" s="6" t="s">
        <v>152</v>
      </c>
      <c r="AQ71" s="6" t="s">
        <v>152</v>
      </c>
      <c r="AR71" s="6" t="s">
        <v>152</v>
      </c>
    </row>
    <row r="72" spans="1:44" x14ac:dyDescent="0.2">
      <c r="A72" s="1" t="str">
        <f ca="1">IFERROR(__xludf.DUMMYFUNCTION("""COMPUTED_VALUE"""),"Iron Man (Infinity War)")</f>
        <v>Iron Man (Infinity War)</v>
      </c>
      <c r="B72" s="6" t="s">
        <v>152</v>
      </c>
      <c r="C72" s="6" t="s">
        <v>152</v>
      </c>
      <c r="D72" s="6" t="s">
        <v>152</v>
      </c>
      <c r="E72" s="6" t="s">
        <v>152</v>
      </c>
      <c r="F72" s="9" t="s">
        <v>165</v>
      </c>
      <c r="G72" s="6" t="s">
        <v>152</v>
      </c>
      <c r="H72" s="9" t="s">
        <v>165</v>
      </c>
      <c r="I72" s="6" t="s">
        <v>152</v>
      </c>
      <c r="J72" s="6" t="s">
        <v>152</v>
      </c>
      <c r="K72" s="6" t="s">
        <v>152</v>
      </c>
      <c r="L72" s="6" t="s">
        <v>152</v>
      </c>
      <c r="M72" s="6" t="s">
        <v>152</v>
      </c>
      <c r="N72" s="6" t="s">
        <v>152</v>
      </c>
      <c r="O72" s="6" t="s">
        <v>152</v>
      </c>
      <c r="P72" s="6" t="s">
        <v>152</v>
      </c>
      <c r="Q72" s="6" t="s">
        <v>152</v>
      </c>
      <c r="R72" s="6" t="s">
        <v>152</v>
      </c>
      <c r="S72" s="6" t="s">
        <v>152</v>
      </c>
      <c r="T72" s="6" t="s">
        <v>152</v>
      </c>
      <c r="U72" s="6" t="s">
        <v>152</v>
      </c>
      <c r="V72" s="6" t="s">
        <v>152</v>
      </c>
      <c r="W72" s="6" t="s">
        <v>152</v>
      </c>
      <c r="X72" s="6" t="s">
        <v>152</v>
      </c>
      <c r="Y72" s="6" t="s">
        <v>152</v>
      </c>
      <c r="Z72" s="6" t="s">
        <v>152</v>
      </c>
      <c r="AA72" s="6" t="s">
        <v>152</v>
      </c>
      <c r="AB72" s="6" t="s">
        <v>152</v>
      </c>
      <c r="AC72" s="6" t="s">
        <v>152</v>
      </c>
      <c r="AD72" s="6" t="s">
        <v>152</v>
      </c>
      <c r="AE72" s="6" t="s">
        <v>152</v>
      </c>
      <c r="AF72" s="6" t="s">
        <v>152</v>
      </c>
      <c r="AG72" s="6" t="s">
        <v>152</v>
      </c>
      <c r="AH72" s="6" t="s">
        <v>152</v>
      </c>
      <c r="AI72" s="6" t="s">
        <v>152</v>
      </c>
      <c r="AJ72" s="6" t="s">
        <v>152</v>
      </c>
      <c r="AK72" s="6" t="s">
        <v>152</v>
      </c>
      <c r="AL72" s="6" t="s">
        <v>152</v>
      </c>
      <c r="AM72" s="6" t="s">
        <v>152</v>
      </c>
      <c r="AN72" s="6" t="s">
        <v>152</v>
      </c>
      <c r="AO72" s="6" t="s">
        <v>152</v>
      </c>
      <c r="AP72" s="6" t="s">
        <v>152</v>
      </c>
      <c r="AQ72" s="6" t="s">
        <v>152</v>
      </c>
      <c r="AR72" s="6" t="s">
        <v>152</v>
      </c>
    </row>
    <row r="73" spans="1:44" x14ac:dyDescent="0.2">
      <c r="A73" s="1" t="str">
        <f ca="1">IFERROR(__xludf.DUMMYFUNCTION("""COMPUTED_VALUE"""),"Ironheart")</f>
        <v>Ironheart</v>
      </c>
      <c r="B73" s="9" t="s">
        <v>165</v>
      </c>
      <c r="C73" s="6" t="s">
        <v>152</v>
      </c>
      <c r="D73" s="6" t="s">
        <v>152</v>
      </c>
      <c r="E73" s="6" t="s">
        <v>152</v>
      </c>
      <c r="F73" s="6" t="s">
        <v>152</v>
      </c>
      <c r="G73" s="6" t="s">
        <v>152</v>
      </c>
      <c r="H73" s="9" t="s">
        <v>165</v>
      </c>
      <c r="I73" s="6" t="s">
        <v>152</v>
      </c>
      <c r="J73" s="6" t="s">
        <v>152</v>
      </c>
      <c r="K73" s="6" t="s">
        <v>152</v>
      </c>
      <c r="L73" s="6" t="s">
        <v>152</v>
      </c>
      <c r="M73" s="6" t="s">
        <v>152</v>
      </c>
      <c r="N73" s="6" t="s">
        <v>152</v>
      </c>
      <c r="O73" s="6" t="s">
        <v>152</v>
      </c>
      <c r="P73" s="6" t="s">
        <v>152</v>
      </c>
      <c r="Q73" s="6" t="s">
        <v>152</v>
      </c>
      <c r="R73" s="9" t="s">
        <v>165</v>
      </c>
      <c r="S73" s="6" t="s">
        <v>152</v>
      </c>
      <c r="T73" s="9" t="s">
        <v>165</v>
      </c>
      <c r="U73" s="6" t="s">
        <v>152</v>
      </c>
      <c r="V73" s="6" t="s">
        <v>152</v>
      </c>
      <c r="W73" s="6" t="s">
        <v>152</v>
      </c>
      <c r="X73" s="6" t="s">
        <v>152</v>
      </c>
      <c r="Y73" s="6" t="s">
        <v>152</v>
      </c>
      <c r="Z73" s="6" t="s">
        <v>152</v>
      </c>
      <c r="AA73" s="6" t="s">
        <v>152</v>
      </c>
      <c r="AB73" s="6" t="s">
        <v>152</v>
      </c>
      <c r="AC73" s="6" t="s">
        <v>152</v>
      </c>
      <c r="AD73" s="6" t="s">
        <v>152</v>
      </c>
      <c r="AE73" s="6" t="s">
        <v>152</v>
      </c>
      <c r="AF73" s="6" t="s">
        <v>152</v>
      </c>
      <c r="AG73" s="6" t="s">
        <v>152</v>
      </c>
      <c r="AH73" s="6" t="s">
        <v>152</v>
      </c>
      <c r="AI73" s="9" t="s">
        <v>165</v>
      </c>
      <c r="AJ73" s="6" t="s">
        <v>152</v>
      </c>
      <c r="AK73" s="6" t="s">
        <v>152</v>
      </c>
      <c r="AL73" s="6" t="s">
        <v>152</v>
      </c>
      <c r="AM73" s="6" t="s">
        <v>152</v>
      </c>
      <c r="AN73" s="6" t="s">
        <v>152</v>
      </c>
      <c r="AO73" s="6" t="s">
        <v>152</v>
      </c>
      <c r="AP73" s="6" t="s">
        <v>152</v>
      </c>
      <c r="AQ73" s="6" t="s">
        <v>152</v>
      </c>
      <c r="AR73" s="6" t="s">
        <v>152</v>
      </c>
    </row>
    <row r="74" spans="1:44" x14ac:dyDescent="0.2">
      <c r="A74" s="1" t="str">
        <f ca="1">IFERROR(__xludf.DUMMYFUNCTION("""COMPUTED_VALUE"""),"Isophyne")</f>
        <v>Isophyne</v>
      </c>
      <c r="B74" s="6" t="s">
        <v>152</v>
      </c>
      <c r="C74" s="6" t="s">
        <v>152</v>
      </c>
      <c r="D74" s="6" t="s">
        <v>152</v>
      </c>
      <c r="E74" s="6" t="s">
        <v>152</v>
      </c>
      <c r="F74" s="9" t="s">
        <v>165</v>
      </c>
      <c r="G74" s="6" t="s">
        <v>152</v>
      </c>
      <c r="H74" s="9" t="s">
        <v>165</v>
      </c>
      <c r="I74" s="6" t="s">
        <v>152</v>
      </c>
      <c r="J74" s="6" t="s">
        <v>152</v>
      </c>
      <c r="K74" s="6" t="s">
        <v>152</v>
      </c>
      <c r="L74" s="6" t="s">
        <v>152</v>
      </c>
      <c r="M74" s="6" t="s">
        <v>152</v>
      </c>
      <c r="N74" s="6" t="s">
        <v>152</v>
      </c>
      <c r="O74" s="6" t="s">
        <v>152</v>
      </c>
      <c r="P74" s="6" t="s">
        <v>152</v>
      </c>
      <c r="Q74" s="6" t="s">
        <v>152</v>
      </c>
      <c r="R74" s="9" t="s">
        <v>165</v>
      </c>
      <c r="S74" s="6" t="s">
        <v>152</v>
      </c>
      <c r="T74" s="6" t="s">
        <v>152</v>
      </c>
      <c r="U74" s="6" t="s">
        <v>152</v>
      </c>
      <c r="V74" s="6" t="s">
        <v>152</v>
      </c>
      <c r="W74" s="6" t="s">
        <v>152</v>
      </c>
      <c r="X74" s="6" t="s">
        <v>152</v>
      </c>
      <c r="Y74" s="6" t="s">
        <v>152</v>
      </c>
      <c r="Z74" s="6" t="s">
        <v>152</v>
      </c>
      <c r="AA74" s="6" t="s">
        <v>152</v>
      </c>
      <c r="AB74" s="6" t="s">
        <v>152</v>
      </c>
      <c r="AC74" s="6" t="s">
        <v>152</v>
      </c>
      <c r="AD74" s="6" t="s">
        <v>152</v>
      </c>
      <c r="AE74" s="6" t="s">
        <v>152</v>
      </c>
      <c r="AF74" s="6" t="s">
        <v>152</v>
      </c>
      <c r="AG74" s="6" t="s">
        <v>152</v>
      </c>
      <c r="AH74" s="6" t="s">
        <v>152</v>
      </c>
      <c r="AI74" s="6" t="s">
        <v>152</v>
      </c>
      <c r="AJ74" s="6" t="s">
        <v>152</v>
      </c>
      <c r="AK74" s="6" t="s">
        <v>152</v>
      </c>
      <c r="AL74" s="6" t="s">
        <v>152</v>
      </c>
      <c r="AM74" s="6" t="s">
        <v>152</v>
      </c>
      <c r="AN74" s="6" t="s">
        <v>152</v>
      </c>
      <c r="AO74" s="6" t="s">
        <v>152</v>
      </c>
      <c r="AP74" s="6" t="s">
        <v>152</v>
      </c>
      <c r="AQ74" s="6" t="s">
        <v>152</v>
      </c>
      <c r="AR74" s="6" t="s">
        <v>152</v>
      </c>
    </row>
    <row r="75" spans="1:44" x14ac:dyDescent="0.2">
      <c r="A75" s="1" t="str">
        <f ca="1">IFERROR(__xludf.DUMMYFUNCTION("""COMPUTED_VALUE"""),"Jack O’Lantern")</f>
        <v>Jack O’Lantern</v>
      </c>
      <c r="B75" s="6" t="s">
        <v>152</v>
      </c>
      <c r="C75" s="6" t="s">
        <v>152</v>
      </c>
      <c r="D75" s="6" t="s">
        <v>152</v>
      </c>
      <c r="E75" s="6" t="s">
        <v>152</v>
      </c>
      <c r="F75" s="6" t="s">
        <v>152</v>
      </c>
      <c r="G75" s="6" t="s">
        <v>152</v>
      </c>
      <c r="H75" s="6" t="s">
        <v>152</v>
      </c>
      <c r="I75" s="6" t="s">
        <v>152</v>
      </c>
      <c r="J75" s="6" t="s">
        <v>152</v>
      </c>
      <c r="K75" s="6" t="s">
        <v>152</v>
      </c>
      <c r="L75" s="6" t="s">
        <v>152</v>
      </c>
      <c r="M75" s="6" t="s">
        <v>152</v>
      </c>
      <c r="N75" s="6" t="s">
        <v>152</v>
      </c>
      <c r="O75" s="6" t="s">
        <v>152</v>
      </c>
      <c r="P75" s="6" t="s">
        <v>152</v>
      </c>
      <c r="Q75" s="6" t="s">
        <v>152</v>
      </c>
      <c r="R75" s="6" t="s">
        <v>152</v>
      </c>
      <c r="S75" s="6" t="s">
        <v>152</v>
      </c>
      <c r="T75" s="9" t="s">
        <v>165</v>
      </c>
      <c r="U75" s="6" t="s">
        <v>152</v>
      </c>
      <c r="V75" s="6" t="s">
        <v>152</v>
      </c>
      <c r="W75" s="6" t="s">
        <v>152</v>
      </c>
      <c r="X75" s="6" t="s">
        <v>152</v>
      </c>
      <c r="Y75" s="6" t="s">
        <v>152</v>
      </c>
      <c r="Z75" s="6" t="s">
        <v>152</v>
      </c>
      <c r="AA75" s="6" t="s">
        <v>152</v>
      </c>
      <c r="AB75" s="6" t="s">
        <v>152</v>
      </c>
      <c r="AC75" s="6" t="s">
        <v>152</v>
      </c>
      <c r="AD75" s="6" t="s">
        <v>152</v>
      </c>
      <c r="AE75" s="6" t="s">
        <v>152</v>
      </c>
      <c r="AF75" s="6" t="s">
        <v>152</v>
      </c>
      <c r="AG75" s="6" t="s">
        <v>152</v>
      </c>
      <c r="AH75" s="6" t="s">
        <v>152</v>
      </c>
      <c r="AI75" s="9" t="s">
        <v>165</v>
      </c>
      <c r="AJ75" s="6" t="s">
        <v>152</v>
      </c>
      <c r="AK75" s="6" t="s">
        <v>152</v>
      </c>
      <c r="AL75" s="6" t="s">
        <v>152</v>
      </c>
      <c r="AM75" s="6" t="s">
        <v>152</v>
      </c>
      <c r="AN75" s="6" t="s">
        <v>152</v>
      </c>
      <c r="AO75" s="6" t="s">
        <v>152</v>
      </c>
      <c r="AP75" s="6" t="s">
        <v>152</v>
      </c>
      <c r="AQ75" s="6" t="s">
        <v>152</v>
      </c>
      <c r="AR75" s="6" t="s">
        <v>152</v>
      </c>
    </row>
    <row r="76" spans="1:44" x14ac:dyDescent="0.2">
      <c r="A76" s="1" t="str">
        <f ca="1">IFERROR(__xludf.DUMMYFUNCTION("""COMPUTED_VALUE"""),"Jean Grey")</f>
        <v>Jean Grey</v>
      </c>
      <c r="B76" s="6" t="s">
        <v>152</v>
      </c>
      <c r="C76" s="6" t="s">
        <v>152</v>
      </c>
      <c r="D76" s="6" t="s">
        <v>152</v>
      </c>
      <c r="E76" s="6" t="s">
        <v>152</v>
      </c>
      <c r="F76" s="6" t="s">
        <v>152</v>
      </c>
      <c r="G76" s="6" t="s">
        <v>152</v>
      </c>
      <c r="H76" s="6" t="s">
        <v>152</v>
      </c>
      <c r="I76" s="6" t="s">
        <v>152</v>
      </c>
      <c r="J76" s="6" t="s">
        <v>152</v>
      </c>
      <c r="K76" s="6" t="s">
        <v>152</v>
      </c>
      <c r="L76" s="6" t="s">
        <v>152</v>
      </c>
      <c r="M76" s="6" t="s">
        <v>152</v>
      </c>
      <c r="N76" s="6" t="s">
        <v>152</v>
      </c>
      <c r="O76" s="6" t="s">
        <v>152</v>
      </c>
      <c r="P76" s="6" t="s">
        <v>152</v>
      </c>
      <c r="Q76" s="6" t="s">
        <v>152</v>
      </c>
      <c r="R76" s="6" t="s">
        <v>152</v>
      </c>
      <c r="S76" s="6" t="s">
        <v>152</v>
      </c>
      <c r="T76" s="6" t="s">
        <v>152</v>
      </c>
      <c r="U76" s="6" t="s">
        <v>152</v>
      </c>
      <c r="V76" s="6" t="s">
        <v>152</v>
      </c>
      <c r="W76" s="6" t="s">
        <v>152</v>
      </c>
      <c r="X76" s="6" t="s">
        <v>152</v>
      </c>
      <c r="Y76" s="6" t="s">
        <v>152</v>
      </c>
      <c r="Z76" s="6" t="s">
        <v>152</v>
      </c>
      <c r="AA76" s="6" t="s">
        <v>152</v>
      </c>
      <c r="AB76" s="6" t="s">
        <v>152</v>
      </c>
      <c r="AC76" s="6" t="s">
        <v>152</v>
      </c>
      <c r="AD76" s="6" t="s">
        <v>152</v>
      </c>
      <c r="AE76" s="6" t="s">
        <v>152</v>
      </c>
      <c r="AF76" s="6" t="s">
        <v>152</v>
      </c>
      <c r="AG76" s="6" t="s">
        <v>152</v>
      </c>
      <c r="AH76" s="6" t="s">
        <v>152</v>
      </c>
      <c r="AI76" s="9" t="s">
        <v>165</v>
      </c>
      <c r="AJ76" s="6" t="s">
        <v>152</v>
      </c>
      <c r="AK76" s="6" t="s">
        <v>152</v>
      </c>
      <c r="AL76" s="6" t="s">
        <v>152</v>
      </c>
      <c r="AM76" s="6" t="s">
        <v>152</v>
      </c>
      <c r="AN76" s="6" t="s">
        <v>152</v>
      </c>
      <c r="AO76" s="6" t="s">
        <v>152</v>
      </c>
      <c r="AP76" s="6" t="s">
        <v>152</v>
      </c>
      <c r="AQ76" s="6" t="s">
        <v>152</v>
      </c>
      <c r="AR76" s="6" t="s">
        <v>152</v>
      </c>
    </row>
    <row r="77" spans="1:44" x14ac:dyDescent="0.2">
      <c r="A77" s="1" t="str">
        <f ca="1">IFERROR(__xludf.DUMMYFUNCTION("""COMPUTED_VALUE"""),"Joe Fixit")</f>
        <v>Joe Fixit</v>
      </c>
      <c r="B77" s="6" t="s">
        <v>152</v>
      </c>
      <c r="C77" s="6" t="s">
        <v>152</v>
      </c>
      <c r="D77" s="6" t="s">
        <v>152</v>
      </c>
      <c r="E77" s="6" t="s">
        <v>152</v>
      </c>
      <c r="F77" s="6" t="s">
        <v>152</v>
      </c>
      <c r="G77" s="6" t="s">
        <v>152</v>
      </c>
      <c r="H77" s="6" t="s">
        <v>152</v>
      </c>
      <c r="I77" s="6" t="s">
        <v>152</v>
      </c>
      <c r="J77" s="6" t="s">
        <v>152</v>
      </c>
      <c r="K77" s="6" t="s">
        <v>152</v>
      </c>
      <c r="L77" s="6" t="s">
        <v>152</v>
      </c>
      <c r="M77" s="6" t="s">
        <v>152</v>
      </c>
      <c r="N77" s="6" t="s">
        <v>152</v>
      </c>
      <c r="O77" s="6" t="s">
        <v>152</v>
      </c>
      <c r="P77" s="6" t="s">
        <v>152</v>
      </c>
      <c r="Q77" s="6" t="s">
        <v>152</v>
      </c>
      <c r="R77" s="6" t="s">
        <v>152</v>
      </c>
      <c r="S77" s="6" t="s">
        <v>152</v>
      </c>
      <c r="T77" s="6" t="s">
        <v>152</v>
      </c>
      <c r="U77" s="6" t="s">
        <v>152</v>
      </c>
      <c r="V77" s="6" t="s">
        <v>152</v>
      </c>
      <c r="W77" s="6" t="s">
        <v>152</v>
      </c>
      <c r="X77" s="6" t="s">
        <v>152</v>
      </c>
      <c r="Y77" s="6" t="s">
        <v>152</v>
      </c>
      <c r="Z77" s="6" t="s">
        <v>152</v>
      </c>
      <c r="AA77" s="6" t="s">
        <v>152</v>
      </c>
      <c r="AB77" s="9" t="s">
        <v>165</v>
      </c>
      <c r="AC77" s="6" t="s">
        <v>152</v>
      </c>
      <c r="AD77" s="6" t="s">
        <v>152</v>
      </c>
      <c r="AE77" s="6" t="s">
        <v>152</v>
      </c>
      <c r="AF77" s="6" t="s">
        <v>152</v>
      </c>
      <c r="AG77" s="6" t="s">
        <v>152</v>
      </c>
      <c r="AH77" s="6" t="s">
        <v>152</v>
      </c>
      <c r="AI77" s="9" t="s">
        <v>165</v>
      </c>
      <c r="AJ77" s="6" t="s">
        <v>152</v>
      </c>
      <c r="AK77" s="6" t="s">
        <v>152</v>
      </c>
      <c r="AL77" s="6" t="s">
        <v>152</v>
      </c>
      <c r="AM77" s="6" t="s">
        <v>152</v>
      </c>
      <c r="AN77" s="6" t="s">
        <v>152</v>
      </c>
      <c r="AO77" s="6" t="s">
        <v>152</v>
      </c>
      <c r="AP77" s="6" t="s">
        <v>152</v>
      </c>
      <c r="AQ77" s="6" t="s">
        <v>152</v>
      </c>
      <c r="AR77" s="6" t="s">
        <v>152</v>
      </c>
    </row>
    <row r="78" spans="1:44" x14ac:dyDescent="0.2">
      <c r="A78" s="1" t="str">
        <f ca="1">IFERROR(__xludf.DUMMYFUNCTION("""COMPUTED_VALUE"""),"Juggernaut")</f>
        <v>Juggernaut</v>
      </c>
      <c r="B78" s="6" t="s">
        <v>152</v>
      </c>
      <c r="C78" s="6" t="s">
        <v>152</v>
      </c>
      <c r="D78" s="6" t="s">
        <v>152</v>
      </c>
      <c r="E78" s="6" t="s">
        <v>152</v>
      </c>
      <c r="F78" s="6" t="s">
        <v>152</v>
      </c>
      <c r="G78" s="6" t="s">
        <v>152</v>
      </c>
      <c r="H78" s="6" t="s">
        <v>152</v>
      </c>
      <c r="I78" s="6" t="s">
        <v>152</v>
      </c>
      <c r="J78" s="6" t="s">
        <v>152</v>
      </c>
      <c r="K78" s="6" t="s">
        <v>152</v>
      </c>
      <c r="L78" s="6" t="s">
        <v>152</v>
      </c>
      <c r="M78" s="6" t="s">
        <v>152</v>
      </c>
      <c r="N78" s="6" t="s">
        <v>152</v>
      </c>
      <c r="O78" s="6" t="s">
        <v>152</v>
      </c>
      <c r="P78" s="6" t="s">
        <v>152</v>
      </c>
      <c r="Q78" s="6" t="s">
        <v>152</v>
      </c>
      <c r="R78" s="6" t="s">
        <v>152</v>
      </c>
      <c r="S78" s="6" t="s">
        <v>152</v>
      </c>
      <c r="T78" s="6" t="s">
        <v>152</v>
      </c>
      <c r="U78" s="6" t="s">
        <v>152</v>
      </c>
      <c r="V78" s="6" t="s">
        <v>152</v>
      </c>
      <c r="W78" s="6" t="s">
        <v>152</v>
      </c>
      <c r="X78" s="6" t="s">
        <v>152</v>
      </c>
      <c r="Y78" s="6" t="s">
        <v>152</v>
      </c>
      <c r="Z78" s="6" t="s">
        <v>152</v>
      </c>
      <c r="AA78" s="6" t="s">
        <v>152</v>
      </c>
      <c r="AB78" s="6" t="s">
        <v>152</v>
      </c>
      <c r="AC78" s="6" t="s">
        <v>152</v>
      </c>
      <c r="AD78" s="6" t="s">
        <v>152</v>
      </c>
      <c r="AE78" s="6" t="s">
        <v>152</v>
      </c>
      <c r="AF78" s="6" t="s">
        <v>152</v>
      </c>
      <c r="AG78" s="6" t="s">
        <v>152</v>
      </c>
      <c r="AH78" s="6" t="s">
        <v>152</v>
      </c>
      <c r="AI78" s="9" t="s">
        <v>165</v>
      </c>
      <c r="AJ78" s="6" t="s">
        <v>152</v>
      </c>
      <c r="AK78" s="6" t="s">
        <v>152</v>
      </c>
      <c r="AL78" s="6" t="s">
        <v>152</v>
      </c>
      <c r="AM78" s="6" t="s">
        <v>152</v>
      </c>
      <c r="AN78" s="6" t="s">
        <v>152</v>
      </c>
      <c r="AO78" s="6" t="s">
        <v>152</v>
      </c>
      <c r="AP78" s="6" t="s">
        <v>152</v>
      </c>
      <c r="AQ78" s="6" t="s">
        <v>152</v>
      </c>
      <c r="AR78" s="6" t="s">
        <v>152</v>
      </c>
    </row>
    <row r="79" spans="1:44" x14ac:dyDescent="0.2">
      <c r="A79" s="1" t="str">
        <f ca="1">IFERROR(__xludf.DUMMYFUNCTION("""COMPUTED_VALUE"""),"Karolina Dean")</f>
        <v>Karolina Dean</v>
      </c>
      <c r="B79" s="6" t="s">
        <v>152</v>
      </c>
      <c r="C79" s="6" t="s">
        <v>152</v>
      </c>
      <c r="D79" s="6" t="s">
        <v>152</v>
      </c>
      <c r="E79" s="6" t="s">
        <v>152</v>
      </c>
      <c r="F79" s="6" t="s">
        <v>152</v>
      </c>
      <c r="G79" s="6" t="s">
        <v>152</v>
      </c>
      <c r="H79" s="9" t="s">
        <v>165</v>
      </c>
      <c r="I79" s="6" t="s">
        <v>152</v>
      </c>
      <c r="J79" s="6" t="s">
        <v>152</v>
      </c>
      <c r="K79" s="6" t="s">
        <v>152</v>
      </c>
      <c r="L79" s="6" t="s">
        <v>152</v>
      </c>
      <c r="M79" s="6" t="s">
        <v>152</v>
      </c>
      <c r="N79" s="6" t="s">
        <v>152</v>
      </c>
      <c r="O79" s="6" t="s">
        <v>152</v>
      </c>
      <c r="P79" s="6" t="s">
        <v>152</v>
      </c>
      <c r="Q79" s="6" t="s">
        <v>152</v>
      </c>
      <c r="R79" s="9" t="s">
        <v>165</v>
      </c>
      <c r="S79" s="6" t="s">
        <v>152</v>
      </c>
      <c r="T79" s="6" t="s">
        <v>152</v>
      </c>
      <c r="U79" s="6" t="s">
        <v>152</v>
      </c>
      <c r="V79" s="6" t="s">
        <v>152</v>
      </c>
      <c r="W79" s="6" t="s">
        <v>152</v>
      </c>
      <c r="X79" s="6" t="s">
        <v>152</v>
      </c>
      <c r="Y79" s="6" t="s">
        <v>152</v>
      </c>
      <c r="Z79" s="6" t="s">
        <v>152</v>
      </c>
      <c r="AA79" s="6" t="s">
        <v>152</v>
      </c>
      <c r="AB79" s="6" t="s">
        <v>152</v>
      </c>
      <c r="AC79" s="6" t="s">
        <v>152</v>
      </c>
      <c r="AD79" s="6" t="s">
        <v>152</v>
      </c>
      <c r="AE79" s="9" t="s">
        <v>165</v>
      </c>
      <c r="AF79" s="6" t="s">
        <v>152</v>
      </c>
      <c r="AG79" s="6" t="s">
        <v>152</v>
      </c>
      <c r="AH79" s="6" t="s">
        <v>152</v>
      </c>
      <c r="AI79" s="6" t="s">
        <v>152</v>
      </c>
      <c r="AJ79" s="6" t="s">
        <v>152</v>
      </c>
      <c r="AK79" s="6" t="s">
        <v>152</v>
      </c>
      <c r="AL79" s="6" t="s">
        <v>152</v>
      </c>
      <c r="AM79" s="9" t="s">
        <v>165</v>
      </c>
      <c r="AN79" s="6" t="s">
        <v>152</v>
      </c>
      <c r="AO79" s="6" t="s">
        <v>152</v>
      </c>
      <c r="AP79" s="6" t="s">
        <v>152</v>
      </c>
      <c r="AQ79" s="6" t="s">
        <v>152</v>
      </c>
      <c r="AR79" s="6" t="s">
        <v>152</v>
      </c>
    </row>
    <row r="80" spans="1:44" x14ac:dyDescent="0.2">
      <c r="A80" s="1" t="str">
        <f ca="1">IFERROR(__xludf.DUMMYFUNCTION("""COMPUTED_VALUE"""),"Kindred")</f>
        <v>Kindred</v>
      </c>
      <c r="B80" s="6" t="s">
        <v>152</v>
      </c>
      <c r="C80" s="6" t="s">
        <v>152</v>
      </c>
      <c r="D80" s="6" t="s">
        <v>152</v>
      </c>
      <c r="E80" s="6" t="s">
        <v>152</v>
      </c>
      <c r="F80" s="6" t="s">
        <v>152</v>
      </c>
      <c r="G80" s="6" t="s">
        <v>152</v>
      </c>
      <c r="H80" s="6" t="s">
        <v>152</v>
      </c>
      <c r="I80" s="6" t="s">
        <v>152</v>
      </c>
      <c r="J80" s="6" t="s">
        <v>152</v>
      </c>
      <c r="K80" s="6" t="s">
        <v>152</v>
      </c>
      <c r="L80" s="6" t="s">
        <v>152</v>
      </c>
      <c r="M80" s="6" t="s">
        <v>152</v>
      </c>
      <c r="N80" s="6" t="s">
        <v>152</v>
      </c>
      <c r="O80" s="6" t="s">
        <v>152</v>
      </c>
      <c r="P80" s="6" t="s">
        <v>152</v>
      </c>
      <c r="Q80" s="6" t="s">
        <v>152</v>
      </c>
      <c r="R80" s="6" t="s">
        <v>152</v>
      </c>
      <c r="S80" s="9" t="s">
        <v>165</v>
      </c>
      <c r="T80" s="9" t="s">
        <v>165</v>
      </c>
      <c r="U80" s="9" t="s">
        <v>165</v>
      </c>
      <c r="V80" s="9" t="s">
        <v>165</v>
      </c>
      <c r="W80" s="6" t="s">
        <v>152</v>
      </c>
      <c r="X80" s="6" t="s">
        <v>152</v>
      </c>
      <c r="Y80" s="6" t="s">
        <v>152</v>
      </c>
      <c r="Z80" s="6" t="s">
        <v>152</v>
      </c>
      <c r="AA80" s="6" t="s">
        <v>152</v>
      </c>
      <c r="AB80" s="9" t="s">
        <v>165</v>
      </c>
      <c r="AC80" s="6" t="s">
        <v>152</v>
      </c>
      <c r="AD80" s="6" t="s">
        <v>152</v>
      </c>
      <c r="AE80" s="6" t="s">
        <v>152</v>
      </c>
      <c r="AF80" s="6" t="s">
        <v>152</v>
      </c>
      <c r="AG80" s="6" t="s">
        <v>152</v>
      </c>
      <c r="AH80" s="6" t="s">
        <v>152</v>
      </c>
      <c r="AI80" s="6" t="s">
        <v>152</v>
      </c>
      <c r="AJ80" s="6" t="s">
        <v>152</v>
      </c>
      <c r="AK80" s="6" t="s">
        <v>152</v>
      </c>
      <c r="AL80" s="6" t="s">
        <v>152</v>
      </c>
      <c r="AM80" s="6" t="s">
        <v>152</v>
      </c>
      <c r="AN80" s="6" t="s">
        <v>152</v>
      </c>
      <c r="AO80" s="6" t="s">
        <v>152</v>
      </c>
      <c r="AP80" s="9" t="s">
        <v>165</v>
      </c>
      <c r="AQ80" s="6" t="s">
        <v>152</v>
      </c>
      <c r="AR80" s="6" t="s">
        <v>152</v>
      </c>
    </row>
    <row r="81" spans="1:44" x14ac:dyDescent="0.2">
      <c r="A81" s="1" t="str">
        <f ca="1">IFERROR(__xludf.DUMMYFUNCTION("""COMPUTED_VALUE"""),"King Groot")</f>
        <v>King Groot</v>
      </c>
      <c r="B81" s="6" t="s">
        <v>152</v>
      </c>
      <c r="C81" s="6" t="s">
        <v>152</v>
      </c>
      <c r="D81" s="6" t="s">
        <v>152</v>
      </c>
      <c r="E81" s="6" t="s">
        <v>152</v>
      </c>
      <c r="F81" s="9" t="s">
        <v>165</v>
      </c>
      <c r="G81" s="6" t="s">
        <v>152</v>
      </c>
      <c r="H81" s="6" t="s">
        <v>152</v>
      </c>
      <c r="I81" s="6" t="s">
        <v>152</v>
      </c>
      <c r="J81" s="6" t="s">
        <v>152</v>
      </c>
      <c r="K81" s="6" t="s">
        <v>152</v>
      </c>
      <c r="L81" s="6" t="s">
        <v>152</v>
      </c>
      <c r="M81" s="6" t="s">
        <v>152</v>
      </c>
      <c r="N81" s="6" t="s">
        <v>152</v>
      </c>
      <c r="O81" s="6" t="s">
        <v>152</v>
      </c>
      <c r="P81" s="6" t="s">
        <v>152</v>
      </c>
      <c r="Q81" s="6" t="s">
        <v>152</v>
      </c>
      <c r="R81" s="6" t="s">
        <v>152</v>
      </c>
      <c r="S81" s="6" t="s">
        <v>152</v>
      </c>
      <c r="T81" s="6" t="s">
        <v>152</v>
      </c>
      <c r="U81" s="6" t="s">
        <v>152</v>
      </c>
      <c r="V81" s="6" t="s">
        <v>152</v>
      </c>
      <c r="W81" s="6" t="s">
        <v>152</v>
      </c>
      <c r="X81" s="6" t="s">
        <v>152</v>
      </c>
      <c r="Y81" s="6" t="s">
        <v>152</v>
      </c>
      <c r="Z81" s="6" t="s">
        <v>152</v>
      </c>
      <c r="AA81" s="6" t="s">
        <v>152</v>
      </c>
      <c r="AB81" s="6" t="s">
        <v>152</v>
      </c>
      <c r="AC81" s="9" t="s">
        <v>165</v>
      </c>
      <c r="AD81" s="9" t="s">
        <v>165</v>
      </c>
      <c r="AE81" s="6" t="s">
        <v>152</v>
      </c>
      <c r="AF81" s="6" t="s">
        <v>152</v>
      </c>
      <c r="AG81" s="6" t="s">
        <v>152</v>
      </c>
      <c r="AH81" s="6" t="s">
        <v>152</v>
      </c>
      <c r="AI81" s="6" t="s">
        <v>152</v>
      </c>
      <c r="AJ81" s="6" t="s">
        <v>152</v>
      </c>
      <c r="AK81" s="6" t="s">
        <v>152</v>
      </c>
      <c r="AL81" s="6" t="s">
        <v>152</v>
      </c>
      <c r="AM81" s="6" t="s">
        <v>152</v>
      </c>
      <c r="AN81" s="6" t="s">
        <v>152</v>
      </c>
      <c r="AO81" s="6" t="s">
        <v>152</v>
      </c>
      <c r="AP81" s="6" t="s">
        <v>152</v>
      </c>
      <c r="AQ81" s="6" t="s">
        <v>152</v>
      </c>
      <c r="AR81" s="6" t="s">
        <v>152</v>
      </c>
    </row>
    <row r="82" spans="1:44" x14ac:dyDescent="0.2">
      <c r="A82" s="1" t="str">
        <f ca="1">IFERROR(__xludf.DUMMYFUNCTION("""COMPUTED_VALUE"""),"King Groot (Deathless)")</f>
        <v>King Groot (Deathless)</v>
      </c>
      <c r="B82" s="6" t="s">
        <v>152</v>
      </c>
      <c r="C82" s="6" t="s">
        <v>152</v>
      </c>
      <c r="D82" s="6" t="s">
        <v>152</v>
      </c>
      <c r="E82" s="6" t="s">
        <v>152</v>
      </c>
      <c r="F82" s="9" t="s">
        <v>165</v>
      </c>
      <c r="G82" s="6" t="s">
        <v>152</v>
      </c>
      <c r="H82" s="6" t="s">
        <v>152</v>
      </c>
      <c r="I82" s="6" t="s">
        <v>152</v>
      </c>
      <c r="J82" s="6" t="s">
        <v>152</v>
      </c>
      <c r="K82" s="6" t="s">
        <v>152</v>
      </c>
      <c r="L82" s="6" t="s">
        <v>152</v>
      </c>
      <c r="M82" s="6" t="s">
        <v>152</v>
      </c>
      <c r="N82" s="6" t="s">
        <v>152</v>
      </c>
      <c r="O82" s="6" t="s">
        <v>152</v>
      </c>
      <c r="P82" s="6" t="s">
        <v>152</v>
      </c>
      <c r="Q82" s="6" t="s">
        <v>152</v>
      </c>
      <c r="R82" s="6" t="s">
        <v>152</v>
      </c>
      <c r="S82" s="6" t="s">
        <v>152</v>
      </c>
      <c r="T82" s="6" t="s">
        <v>152</v>
      </c>
      <c r="U82" s="6" t="s">
        <v>152</v>
      </c>
      <c r="V82" s="6" t="s">
        <v>152</v>
      </c>
      <c r="W82" s="6" t="s">
        <v>152</v>
      </c>
      <c r="X82" s="6" t="s">
        <v>152</v>
      </c>
      <c r="Y82" s="6" t="s">
        <v>152</v>
      </c>
      <c r="Z82" s="6" t="s">
        <v>152</v>
      </c>
      <c r="AA82" s="6" t="s">
        <v>152</v>
      </c>
      <c r="AB82" s="6" t="s">
        <v>152</v>
      </c>
      <c r="AC82" s="9" t="s">
        <v>165</v>
      </c>
      <c r="AD82" s="9" t="s">
        <v>165</v>
      </c>
      <c r="AE82" s="6" t="s">
        <v>152</v>
      </c>
      <c r="AF82" s="6" t="s">
        <v>152</v>
      </c>
      <c r="AG82" s="6" t="s">
        <v>152</v>
      </c>
      <c r="AH82" s="6" t="s">
        <v>152</v>
      </c>
      <c r="AI82" s="6" t="s">
        <v>152</v>
      </c>
      <c r="AJ82" s="6" t="s">
        <v>152</v>
      </c>
      <c r="AK82" s="6" t="s">
        <v>152</v>
      </c>
      <c r="AL82" s="6" t="s">
        <v>152</v>
      </c>
      <c r="AM82" s="6" t="s">
        <v>152</v>
      </c>
      <c r="AN82" s="6" t="s">
        <v>152</v>
      </c>
      <c r="AO82" s="6" t="s">
        <v>152</v>
      </c>
      <c r="AP82" s="6" t="s">
        <v>152</v>
      </c>
      <c r="AQ82" s="6" t="s">
        <v>152</v>
      </c>
      <c r="AR82" s="6" t="s">
        <v>152</v>
      </c>
    </row>
    <row r="83" spans="1:44" x14ac:dyDescent="0.2">
      <c r="A83" s="1" t="str">
        <f ca="1">IFERROR(__xludf.DUMMYFUNCTION("""COMPUTED_VALUE"""),"Kingpin")</f>
        <v>Kingpin</v>
      </c>
      <c r="B83" s="6" t="s">
        <v>152</v>
      </c>
      <c r="C83" s="6" t="s">
        <v>152</v>
      </c>
      <c r="D83" s="6" t="s">
        <v>152</v>
      </c>
      <c r="E83" s="6" t="s">
        <v>152</v>
      </c>
      <c r="F83" s="6" t="s">
        <v>152</v>
      </c>
      <c r="G83" s="6" t="s">
        <v>152</v>
      </c>
      <c r="H83" s="6" t="s">
        <v>152</v>
      </c>
      <c r="I83" s="6" t="s">
        <v>152</v>
      </c>
      <c r="J83" s="6" t="s">
        <v>152</v>
      </c>
      <c r="K83" s="6" t="s">
        <v>152</v>
      </c>
      <c r="L83" s="6" t="s">
        <v>152</v>
      </c>
      <c r="M83" s="6" t="s">
        <v>152</v>
      </c>
      <c r="N83" s="6" t="s">
        <v>152</v>
      </c>
      <c r="O83" s="6" t="s">
        <v>152</v>
      </c>
      <c r="P83" s="6" t="s">
        <v>152</v>
      </c>
      <c r="Q83" s="6" t="s">
        <v>152</v>
      </c>
      <c r="R83" s="6" t="s">
        <v>152</v>
      </c>
      <c r="S83" s="6" t="s">
        <v>152</v>
      </c>
      <c r="T83" s="6" t="s">
        <v>152</v>
      </c>
      <c r="U83" s="6" t="s">
        <v>152</v>
      </c>
      <c r="V83" s="6" t="s">
        <v>152</v>
      </c>
      <c r="W83" s="6" t="s">
        <v>152</v>
      </c>
      <c r="X83" s="6" t="s">
        <v>152</v>
      </c>
      <c r="Y83" s="6" t="s">
        <v>152</v>
      </c>
      <c r="Z83" s="6" t="s">
        <v>152</v>
      </c>
      <c r="AA83" s="9" t="s">
        <v>165</v>
      </c>
      <c r="AB83" s="6" t="s">
        <v>152</v>
      </c>
      <c r="AC83" s="6" t="s">
        <v>152</v>
      </c>
      <c r="AD83" s="6" t="s">
        <v>152</v>
      </c>
      <c r="AE83" s="6" t="s">
        <v>152</v>
      </c>
      <c r="AF83" s="6" t="s">
        <v>152</v>
      </c>
      <c r="AG83" s="6" t="s">
        <v>152</v>
      </c>
      <c r="AH83" s="6" t="s">
        <v>152</v>
      </c>
      <c r="AI83" s="6" t="s">
        <v>152</v>
      </c>
      <c r="AJ83" s="6" t="s">
        <v>152</v>
      </c>
      <c r="AK83" s="9" t="s">
        <v>165</v>
      </c>
      <c r="AL83" s="6" t="s">
        <v>152</v>
      </c>
      <c r="AM83" s="6" t="s">
        <v>152</v>
      </c>
      <c r="AN83" s="6" t="s">
        <v>152</v>
      </c>
      <c r="AO83" s="6" t="s">
        <v>152</v>
      </c>
      <c r="AP83" s="6" t="s">
        <v>152</v>
      </c>
      <c r="AQ83" s="6" t="s">
        <v>152</v>
      </c>
      <c r="AR83" s="6" t="s">
        <v>152</v>
      </c>
    </row>
    <row r="84" spans="1:44" x14ac:dyDescent="0.2">
      <c r="A84" s="1" t="str">
        <f ca="1">IFERROR(__xludf.DUMMYFUNCTION("""COMPUTED_VALUE"""),"Kitty Pryde")</f>
        <v>Kitty Pryde</v>
      </c>
      <c r="B84" s="6" t="s">
        <v>152</v>
      </c>
      <c r="C84" s="6" t="s">
        <v>152</v>
      </c>
      <c r="D84" s="6" t="s">
        <v>152</v>
      </c>
      <c r="E84" s="6" t="s">
        <v>152</v>
      </c>
      <c r="F84" s="6" t="s">
        <v>152</v>
      </c>
      <c r="G84" s="6" t="s">
        <v>152</v>
      </c>
      <c r="H84" s="6" t="s">
        <v>152</v>
      </c>
      <c r="I84" s="6" t="s">
        <v>152</v>
      </c>
      <c r="J84" s="6" t="s">
        <v>152</v>
      </c>
      <c r="K84" s="6" t="s">
        <v>152</v>
      </c>
      <c r="L84" s="6" t="s">
        <v>152</v>
      </c>
      <c r="M84" s="6" t="s">
        <v>152</v>
      </c>
      <c r="N84" s="6" t="s">
        <v>152</v>
      </c>
      <c r="O84" s="6" t="s">
        <v>152</v>
      </c>
      <c r="P84" s="6" t="s">
        <v>152</v>
      </c>
      <c r="Q84" s="6" t="s">
        <v>152</v>
      </c>
      <c r="R84" s="6" t="s">
        <v>152</v>
      </c>
      <c r="S84" s="6" t="s">
        <v>152</v>
      </c>
      <c r="T84" s="9" t="s">
        <v>165</v>
      </c>
      <c r="U84" s="6" t="s">
        <v>152</v>
      </c>
      <c r="V84" s="6" t="s">
        <v>152</v>
      </c>
      <c r="W84" s="6" t="s">
        <v>152</v>
      </c>
      <c r="X84" s="6" t="s">
        <v>152</v>
      </c>
      <c r="Y84" s="6" t="s">
        <v>152</v>
      </c>
      <c r="Z84" s="6" t="s">
        <v>152</v>
      </c>
      <c r="AA84" s="6" t="s">
        <v>152</v>
      </c>
      <c r="AB84" s="6" t="s">
        <v>152</v>
      </c>
      <c r="AC84" s="6" t="s">
        <v>152</v>
      </c>
      <c r="AD84" s="6" t="s">
        <v>152</v>
      </c>
      <c r="AE84" s="6" t="s">
        <v>152</v>
      </c>
      <c r="AF84" s="6" t="s">
        <v>152</v>
      </c>
      <c r="AG84" s="6" t="s">
        <v>152</v>
      </c>
      <c r="AH84" s="6" t="s">
        <v>152</v>
      </c>
      <c r="AI84" s="9" t="s">
        <v>165</v>
      </c>
      <c r="AJ84" s="6" t="s">
        <v>152</v>
      </c>
      <c r="AK84" s="6" t="s">
        <v>152</v>
      </c>
      <c r="AL84" s="6" t="s">
        <v>152</v>
      </c>
      <c r="AM84" s="6" t="s">
        <v>152</v>
      </c>
      <c r="AN84" s="6" t="s">
        <v>152</v>
      </c>
      <c r="AO84" s="6" t="s">
        <v>152</v>
      </c>
      <c r="AP84" s="9" t="s">
        <v>165</v>
      </c>
      <c r="AQ84" s="6" t="s">
        <v>152</v>
      </c>
      <c r="AR84" s="6" t="s">
        <v>152</v>
      </c>
    </row>
    <row r="85" spans="1:44" x14ac:dyDescent="0.2">
      <c r="A85" s="1" t="str">
        <f ca="1">IFERROR(__xludf.DUMMYFUNCTION("""COMPUTED_VALUE"""),"Korg")</f>
        <v>Korg</v>
      </c>
      <c r="B85" s="6" t="s">
        <v>152</v>
      </c>
      <c r="C85" s="6" t="s">
        <v>152</v>
      </c>
      <c r="D85" s="6" t="s">
        <v>152</v>
      </c>
      <c r="E85" s="6" t="s">
        <v>152</v>
      </c>
      <c r="F85" s="9" t="s">
        <v>165</v>
      </c>
      <c r="G85" s="6" t="s">
        <v>152</v>
      </c>
      <c r="H85" s="6" t="s">
        <v>152</v>
      </c>
      <c r="I85" s="6" t="s">
        <v>152</v>
      </c>
      <c r="J85" s="6" t="s">
        <v>152</v>
      </c>
      <c r="K85" s="6" t="s">
        <v>152</v>
      </c>
      <c r="L85" s="6" t="s">
        <v>152</v>
      </c>
      <c r="M85" s="6" t="s">
        <v>152</v>
      </c>
      <c r="N85" s="6" t="s">
        <v>152</v>
      </c>
      <c r="O85" s="6" t="s">
        <v>152</v>
      </c>
      <c r="P85" s="6" t="s">
        <v>152</v>
      </c>
      <c r="Q85" s="6" t="s">
        <v>152</v>
      </c>
      <c r="R85" s="6" t="s">
        <v>152</v>
      </c>
      <c r="S85" s="6" t="s">
        <v>152</v>
      </c>
      <c r="T85" s="6" t="s">
        <v>152</v>
      </c>
      <c r="U85" s="6" t="s">
        <v>152</v>
      </c>
      <c r="V85" s="6" t="s">
        <v>152</v>
      </c>
      <c r="W85" s="6" t="s">
        <v>152</v>
      </c>
      <c r="X85" s="6" t="s">
        <v>152</v>
      </c>
      <c r="Y85" s="6" t="s">
        <v>152</v>
      </c>
      <c r="Z85" s="6" t="s">
        <v>152</v>
      </c>
      <c r="AA85" s="6" t="s">
        <v>152</v>
      </c>
      <c r="AB85" s="6" t="s">
        <v>152</v>
      </c>
      <c r="AC85" s="6" t="s">
        <v>152</v>
      </c>
      <c r="AD85" s="6" t="s">
        <v>152</v>
      </c>
      <c r="AE85" s="6" t="s">
        <v>152</v>
      </c>
      <c r="AF85" s="6" t="s">
        <v>152</v>
      </c>
      <c r="AG85" s="6" t="s">
        <v>152</v>
      </c>
      <c r="AH85" s="6" t="s">
        <v>152</v>
      </c>
      <c r="AI85" s="6" t="s">
        <v>152</v>
      </c>
      <c r="AJ85" s="6" t="s">
        <v>152</v>
      </c>
      <c r="AK85" s="9" t="s">
        <v>165</v>
      </c>
      <c r="AL85" s="6" t="s">
        <v>152</v>
      </c>
      <c r="AM85" s="6" t="s">
        <v>152</v>
      </c>
      <c r="AN85" s="6" t="s">
        <v>152</v>
      </c>
      <c r="AO85" s="6" t="s">
        <v>152</v>
      </c>
      <c r="AP85" s="6" t="s">
        <v>152</v>
      </c>
      <c r="AQ85" s="6" t="s">
        <v>152</v>
      </c>
      <c r="AR85" s="6" t="s">
        <v>152</v>
      </c>
    </row>
    <row r="86" spans="1:44" x14ac:dyDescent="0.2">
      <c r="A86" s="1" t="str">
        <f ca="1">IFERROR(__xludf.DUMMYFUNCTION("""COMPUTED_VALUE"""),"Kraven")</f>
        <v>Kraven</v>
      </c>
      <c r="B86" s="6" t="s">
        <v>152</v>
      </c>
      <c r="C86" s="6" t="s">
        <v>152</v>
      </c>
      <c r="D86" s="6" t="s">
        <v>152</v>
      </c>
      <c r="E86" s="6" t="s">
        <v>152</v>
      </c>
      <c r="F86" s="9" t="s">
        <v>165</v>
      </c>
      <c r="G86" s="6" t="s">
        <v>152</v>
      </c>
      <c r="H86" s="6" t="s">
        <v>152</v>
      </c>
      <c r="I86" s="6" t="s">
        <v>152</v>
      </c>
      <c r="J86" s="6" t="s">
        <v>152</v>
      </c>
      <c r="K86" s="6" t="s">
        <v>152</v>
      </c>
      <c r="L86" s="6" t="s">
        <v>152</v>
      </c>
      <c r="M86" s="6" t="s">
        <v>152</v>
      </c>
      <c r="N86" s="6" t="s">
        <v>152</v>
      </c>
      <c r="O86" s="6" t="s">
        <v>152</v>
      </c>
      <c r="P86" s="6" t="s">
        <v>152</v>
      </c>
      <c r="Q86" s="6" t="s">
        <v>152</v>
      </c>
      <c r="R86" s="6" t="s">
        <v>152</v>
      </c>
      <c r="S86" s="6" t="s">
        <v>152</v>
      </c>
      <c r="T86" s="6" t="s">
        <v>152</v>
      </c>
      <c r="U86" s="6" t="s">
        <v>152</v>
      </c>
      <c r="V86" s="6" t="s">
        <v>152</v>
      </c>
      <c r="W86" s="6" t="s">
        <v>152</v>
      </c>
      <c r="X86" s="6" t="s">
        <v>152</v>
      </c>
      <c r="Y86" s="6" t="s">
        <v>152</v>
      </c>
      <c r="Z86" s="6" t="s">
        <v>152</v>
      </c>
      <c r="AA86" s="6" t="s">
        <v>152</v>
      </c>
      <c r="AB86" s="6" t="s">
        <v>152</v>
      </c>
      <c r="AC86" s="6" t="s">
        <v>152</v>
      </c>
      <c r="AD86" s="6" t="s">
        <v>152</v>
      </c>
      <c r="AE86" s="6" t="s">
        <v>152</v>
      </c>
      <c r="AF86" s="6" t="s">
        <v>152</v>
      </c>
      <c r="AG86" s="6" t="s">
        <v>152</v>
      </c>
      <c r="AH86" s="6" t="s">
        <v>152</v>
      </c>
      <c r="AI86" s="6" t="s">
        <v>152</v>
      </c>
      <c r="AJ86" s="6" t="s">
        <v>152</v>
      </c>
      <c r="AK86" s="6" t="s">
        <v>152</v>
      </c>
      <c r="AL86" s="6" t="s">
        <v>152</v>
      </c>
      <c r="AM86" s="6" t="s">
        <v>152</v>
      </c>
      <c r="AN86" s="6" t="s">
        <v>152</v>
      </c>
      <c r="AO86" s="6" t="s">
        <v>152</v>
      </c>
      <c r="AP86" s="6" t="s">
        <v>152</v>
      </c>
      <c r="AQ86" s="6" t="s">
        <v>152</v>
      </c>
      <c r="AR86" s="6" t="s">
        <v>152</v>
      </c>
    </row>
    <row r="87" spans="1:44" x14ac:dyDescent="0.2">
      <c r="A87" s="1" t="str">
        <f ca="1">IFERROR(__xludf.DUMMYFUNCTION("""COMPUTED_VALUE"""),"Kushala")</f>
        <v>Kushala</v>
      </c>
      <c r="B87" s="6" t="s">
        <v>152</v>
      </c>
      <c r="C87" s="6" t="s">
        <v>152</v>
      </c>
      <c r="D87" s="6" t="s">
        <v>152</v>
      </c>
      <c r="E87" s="6" t="s">
        <v>152</v>
      </c>
      <c r="F87" s="9" t="s">
        <v>165</v>
      </c>
      <c r="G87" s="6" t="s">
        <v>152</v>
      </c>
      <c r="H87" s="6" t="s">
        <v>152</v>
      </c>
      <c r="I87" s="6" t="s">
        <v>152</v>
      </c>
      <c r="J87" s="6" t="s">
        <v>152</v>
      </c>
      <c r="K87" s="6" t="s">
        <v>152</v>
      </c>
      <c r="L87" s="6" t="s">
        <v>152</v>
      </c>
      <c r="M87" s="6" t="s">
        <v>152</v>
      </c>
      <c r="N87" s="6" t="s">
        <v>152</v>
      </c>
      <c r="O87" s="6" t="s">
        <v>152</v>
      </c>
      <c r="P87" s="6" t="s">
        <v>152</v>
      </c>
      <c r="Q87" s="6" t="s">
        <v>152</v>
      </c>
      <c r="R87" s="6" t="s">
        <v>152</v>
      </c>
      <c r="S87" s="6" t="s">
        <v>152</v>
      </c>
      <c r="T87" s="9" t="s">
        <v>165</v>
      </c>
      <c r="U87" s="6" t="s">
        <v>152</v>
      </c>
      <c r="V87" s="6" t="s">
        <v>152</v>
      </c>
      <c r="W87" s="6" t="s">
        <v>152</v>
      </c>
      <c r="X87" s="6" t="s">
        <v>152</v>
      </c>
      <c r="Y87" s="6" t="s">
        <v>152</v>
      </c>
      <c r="Z87" s="6" t="s">
        <v>152</v>
      </c>
      <c r="AA87" s="6" t="s">
        <v>152</v>
      </c>
      <c r="AB87" s="6" t="s">
        <v>152</v>
      </c>
      <c r="AC87" s="6" t="s">
        <v>152</v>
      </c>
      <c r="AD87" s="6" t="s">
        <v>152</v>
      </c>
      <c r="AE87" s="6" t="s">
        <v>152</v>
      </c>
      <c r="AF87" s="6" t="s">
        <v>152</v>
      </c>
      <c r="AG87" s="6" t="s">
        <v>152</v>
      </c>
      <c r="AH87" s="6" t="s">
        <v>152</v>
      </c>
      <c r="AI87" s="6" t="s">
        <v>152</v>
      </c>
      <c r="AJ87" s="6" t="s">
        <v>152</v>
      </c>
      <c r="AK87" s="6" t="s">
        <v>152</v>
      </c>
      <c r="AL87" s="6" t="s">
        <v>152</v>
      </c>
      <c r="AM87" s="6" t="s">
        <v>152</v>
      </c>
      <c r="AN87" s="6" t="s">
        <v>152</v>
      </c>
      <c r="AO87" s="6" t="s">
        <v>152</v>
      </c>
      <c r="AP87" s="6" t="s">
        <v>152</v>
      </c>
      <c r="AQ87" s="6" t="s">
        <v>152</v>
      </c>
      <c r="AR87" s="6" t="s">
        <v>152</v>
      </c>
    </row>
    <row r="88" spans="1:44" x14ac:dyDescent="0.2">
      <c r="A88" s="1" t="str">
        <f ca="1">IFERROR(__xludf.DUMMYFUNCTION("""COMPUTED_VALUE"""),"Lady Deathstrike")</f>
        <v>Lady Deathstrike</v>
      </c>
      <c r="B88" s="9" t="s">
        <v>165</v>
      </c>
      <c r="C88" s="9" t="s">
        <v>165</v>
      </c>
      <c r="D88" s="6" t="s">
        <v>152</v>
      </c>
      <c r="E88" s="6" t="s">
        <v>152</v>
      </c>
      <c r="F88" s="6" t="s">
        <v>152</v>
      </c>
      <c r="G88" s="6" t="s">
        <v>152</v>
      </c>
      <c r="H88" s="6" t="s">
        <v>152</v>
      </c>
      <c r="I88" s="6" t="s">
        <v>152</v>
      </c>
      <c r="J88" s="6" t="s">
        <v>152</v>
      </c>
      <c r="K88" s="6" t="s">
        <v>152</v>
      </c>
      <c r="L88" s="6" t="s">
        <v>152</v>
      </c>
      <c r="M88" s="6" t="s">
        <v>152</v>
      </c>
      <c r="N88" s="6" t="s">
        <v>152</v>
      </c>
      <c r="O88" s="6" t="s">
        <v>152</v>
      </c>
      <c r="P88" s="6" t="s">
        <v>152</v>
      </c>
      <c r="Q88" s="6" t="s">
        <v>152</v>
      </c>
      <c r="R88" s="6" t="s">
        <v>152</v>
      </c>
      <c r="S88" s="9" t="s">
        <v>165</v>
      </c>
      <c r="T88" s="6" t="s">
        <v>152</v>
      </c>
      <c r="U88" s="6" t="s">
        <v>152</v>
      </c>
      <c r="V88" s="6" t="s">
        <v>152</v>
      </c>
      <c r="W88" s="6" t="s">
        <v>152</v>
      </c>
      <c r="X88" s="6" t="s">
        <v>152</v>
      </c>
      <c r="Y88" s="6" t="s">
        <v>152</v>
      </c>
      <c r="Z88" s="6" t="s">
        <v>152</v>
      </c>
      <c r="AA88" s="6" t="s">
        <v>152</v>
      </c>
      <c r="AB88" s="6" t="s">
        <v>152</v>
      </c>
      <c r="AC88" s="6" t="s">
        <v>152</v>
      </c>
      <c r="AD88" s="6" t="s">
        <v>152</v>
      </c>
      <c r="AE88" s="6" t="s">
        <v>152</v>
      </c>
      <c r="AF88" s="6" t="s">
        <v>152</v>
      </c>
      <c r="AG88" s="6" t="s">
        <v>152</v>
      </c>
      <c r="AH88" s="6" t="s">
        <v>152</v>
      </c>
      <c r="AI88" s="6" t="s">
        <v>152</v>
      </c>
      <c r="AJ88" s="9" t="s">
        <v>165</v>
      </c>
      <c r="AK88" s="6" t="s">
        <v>152</v>
      </c>
      <c r="AL88" s="6" t="s">
        <v>152</v>
      </c>
      <c r="AM88" s="6" t="s">
        <v>152</v>
      </c>
      <c r="AN88" s="6" t="s">
        <v>152</v>
      </c>
      <c r="AO88" s="6" t="s">
        <v>152</v>
      </c>
      <c r="AP88" s="6" t="s">
        <v>152</v>
      </c>
      <c r="AQ88" s="6" t="s">
        <v>152</v>
      </c>
      <c r="AR88" s="6" t="s">
        <v>152</v>
      </c>
    </row>
    <row r="89" spans="1:44" x14ac:dyDescent="0.2">
      <c r="A89" s="1" t="str">
        <f ca="1">IFERROR(__xludf.DUMMYFUNCTION("""COMPUTED_VALUE"""),"Lizard")</f>
        <v>Lizard</v>
      </c>
      <c r="B89" s="6" t="s">
        <v>152</v>
      </c>
      <c r="C89" s="6" t="s">
        <v>152</v>
      </c>
      <c r="D89" s="6" t="s">
        <v>152</v>
      </c>
      <c r="E89" s="6" t="s">
        <v>152</v>
      </c>
      <c r="F89" s="6" t="s">
        <v>152</v>
      </c>
      <c r="G89" s="9" t="s">
        <v>165</v>
      </c>
      <c r="H89" s="6" t="s">
        <v>152</v>
      </c>
      <c r="I89" s="6" t="s">
        <v>152</v>
      </c>
      <c r="J89" s="6" t="s">
        <v>152</v>
      </c>
      <c r="K89" s="6" t="s">
        <v>152</v>
      </c>
      <c r="L89" s="6" t="s">
        <v>152</v>
      </c>
      <c r="M89" s="6" t="s">
        <v>152</v>
      </c>
      <c r="N89" s="6" t="s">
        <v>152</v>
      </c>
      <c r="O89" s="6" t="s">
        <v>152</v>
      </c>
      <c r="P89" s="6" t="s">
        <v>152</v>
      </c>
      <c r="Q89" s="6" t="s">
        <v>152</v>
      </c>
      <c r="R89" s="6" t="s">
        <v>152</v>
      </c>
      <c r="S89" s="9" t="s">
        <v>165</v>
      </c>
      <c r="T89" s="6" t="s">
        <v>152</v>
      </c>
      <c r="U89" s="6" t="s">
        <v>152</v>
      </c>
      <c r="V89" s="6" t="s">
        <v>152</v>
      </c>
      <c r="W89" s="6" t="s">
        <v>152</v>
      </c>
      <c r="X89" s="6" t="s">
        <v>152</v>
      </c>
      <c r="Y89" s="6" t="s">
        <v>152</v>
      </c>
      <c r="Z89" s="6" t="s">
        <v>152</v>
      </c>
      <c r="AA89" s="6" t="s">
        <v>152</v>
      </c>
      <c r="AB89" s="9" t="s">
        <v>165</v>
      </c>
      <c r="AC89" s="6" t="s">
        <v>152</v>
      </c>
      <c r="AD89" s="6" t="s">
        <v>152</v>
      </c>
      <c r="AE89" s="6" t="s">
        <v>152</v>
      </c>
      <c r="AF89" s="6" t="s">
        <v>152</v>
      </c>
      <c r="AG89" s="6" t="s">
        <v>152</v>
      </c>
      <c r="AH89" s="6" t="s">
        <v>152</v>
      </c>
      <c r="AI89" s="6" t="s">
        <v>152</v>
      </c>
      <c r="AJ89" s="6" t="s">
        <v>152</v>
      </c>
      <c r="AK89" s="6" t="s">
        <v>152</v>
      </c>
      <c r="AL89" s="6" t="s">
        <v>152</v>
      </c>
      <c r="AM89" s="6" t="s">
        <v>152</v>
      </c>
      <c r="AN89" s="6" t="s">
        <v>152</v>
      </c>
      <c r="AO89" s="6" t="s">
        <v>152</v>
      </c>
      <c r="AP89" s="6" t="s">
        <v>152</v>
      </c>
      <c r="AQ89" s="6" t="s">
        <v>152</v>
      </c>
      <c r="AR89" s="6" t="s">
        <v>152</v>
      </c>
    </row>
    <row r="90" spans="1:44" x14ac:dyDescent="0.2">
      <c r="A90" s="1" t="str">
        <f ca="1">IFERROR(__xludf.DUMMYFUNCTION("""COMPUTED_VALUE"""),"Longshot")</f>
        <v>Longshot</v>
      </c>
      <c r="B90" s="9" t="s">
        <v>165</v>
      </c>
      <c r="C90" s="6" t="s">
        <v>152</v>
      </c>
      <c r="D90" s="6" t="s">
        <v>152</v>
      </c>
      <c r="E90" s="6" t="s">
        <v>152</v>
      </c>
      <c r="F90" s="6" t="s">
        <v>152</v>
      </c>
      <c r="G90" s="6" t="s">
        <v>152</v>
      </c>
      <c r="H90" s="6" t="s">
        <v>152</v>
      </c>
      <c r="I90" s="6" t="s">
        <v>152</v>
      </c>
      <c r="J90" s="6" t="s">
        <v>152</v>
      </c>
      <c r="K90" s="6" t="s">
        <v>152</v>
      </c>
      <c r="L90" s="6" t="s">
        <v>152</v>
      </c>
      <c r="M90" s="6" t="s">
        <v>152</v>
      </c>
      <c r="N90" s="6" t="s">
        <v>152</v>
      </c>
      <c r="O90" s="6" t="s">
        <v>152</v>
      </c>
      <c r="P90" s="6" t="s">
        <v>152</v>
      </c>
      <c r="Q90" s="6" t="s">
        <v>152</v>
      </c>
      <c r="R90" s="6" t="s">
        <v>152</v>
      </c>
      <c r="S90" s="6" t="s">
        <v>152</v>
      </c>
      <c r="T90" s="6" t="s">
        <v>152</v>
      </c>
      <c r="U90" s="6" t="s">
        <v>152</v>
      </c>
      <c r="V90" s="6" t="s">
        <v>152</v>
      </c>
      <c r="W90" s="6" t="s">
        <v>152</v>
      </c>
      <c r="X90" s="6" t="s">
        <v>152</v>
      </c>
      <c r="Y90" s="6" t="s">
        <v>152</v>
      </c>
      <c r="Z90" s="6" t="s">
        <v>152</v>
      </c>
      <c r="AA90" s="6" t="s">
        <v>152</v>
      </c>
      <c r="AB90" s="6" t="s">
        <v>152</v>
      </c>
      <c r="AC90" s="6" t="s">
        <v>152</v>
      </c>
      <c r="AD90" s="6" t="s">
        <v>152</v>
      </c>
      <c r="AE90" s="6" t="s">
        <v>152</v>
      </c>
      <c r="AF90" s="6" t="s">
        <v>152</v>
      </c>
      <c r="AG90" s="6" t="s">
        <v>152</v>
      </c>
      <c r="AH90" s="6" t="s">
        <v>152</v>
      </c>
      <c r="AI90" s="6" t="s">
        <v>152</v>
      </c>
      <c r="AJ90" s="6" t="s">
        <v>152</v>
      </c>
      <c r="AK90" s="6" t="s">
        <v>152</v>
      </c>
      <c r="AL90" s="6" t="s">
        <v>152</v>
      </c>
      <c r="AM90" s="6" t="s">
        <v>152</v>
      </c>
      <c r="AN90" s="6" t="s">
        <v>152</v>
      </c>
      <c r="AO90" s="6" t="s">
        <v>152</v>
      </c>
      <c r="AP90" s="6" t="s">
        <v>152</v>
      </c>
      <c r="AQ90" s="6" t="s">
        <v>152</v>
      </c>
      <c r="AR90" s="6" t="s">
        <v>152</v>
      </c>
    </row>
    <row r="91" spans="1:44" x14ac:dyDescent="0.2">
      <c r="A91" s="1" t="str">
        <f ca="1">IFERROR(__xludf.DUMMYFUNCTION("""COMPUTED_VALUE"""),"Luke Cage")</f>
        <v>Luke Cage</v>
      </c>
      <c r="B91" s="6" t="s">
        <v>152</v>
      </c>
      <c r="C91" s="6" t="s">
        <v>152</v>
      </c>
      <c r="D91" s="6" t="s">
        <v>152</v>
      </c>
      <c r="E91" s="6" t="s">
        <v>152</v>
      </c>
      <c r="F91" s="9" t="s">
        <v>165</v>
      </c>
      <c r="G91" s="6" t="s">
        <v>152</v>
      </c>
      <c r="H91" s="6" t="s">
        <v>152</v>
      </c>
      <c r="I91" s="6" t="s">
        <v>152</v>
      </c>
      <c r="J91" s="6" t="s">
        <v>152</v>
      </c>
      <c r="K91" s="6" t="s">
        <v>152</v>
      </c>
      <c r="L91" s="6" t="s">
        <v>152</v>
      </c>
      <c r="M91" s="6" t="s">
        <v>152</v>
      </c>
      <c r="N91" s="6" t="s">
        <v>152</v>
      </c>
      <c r="O91" s="6" t="s">
        <v>152</v>
      </c>
      <c r="P91" s="6" t="s">
        <v>152</v>
      </c>
      <c r="Q91" s="6" t="s">
        <v>152</v>
      </c>
      <c r="R91" s="6" t="s">
        <v>152</v>
      </c>
      <c r="S91" s="6" t="s">
        <v>152</v>
      </c>
      <c r="T91" s="6" t="s">
        <v>152</v>
      </c>
      <c r="U91" s="6" t="s">
        <v>152</v>
      </c>
      <c r="V91" s="6" t="s">
        <v>152</v>
      </c>
      <c r="W91" s="6" t="s">
        <v>152</v>
      </c>
      <c r="X91" s="6" t="s">
        <v>152</v>
      </c>
      <c r="Y91" s="6" t="s">
        <v>152</v>
      </c>
      <c r="Z91" s="6" t="s">
        <v>152</v>
      </c>
      <c r="AA91" s="6" t="s">
        <v>152</v>
      </c>
      <c r="AB91" s="6" t="s">
        <v>152</v>
      </c>
      <c r="AC91" s="6" t="s">
        <v>152</v>
      </c>
      <c r="AD91" s="6" t="s">
        <v>152</v>
      </c>
      <c r="AE91" s="6" t="s">
        <v>152</v>
      </c>
      <c r="AF91" s="6" t="s">
        <v>152</v>
      </c>
      <c r="AG91" s="6" t="s">
        <v>152</v>
      </c>
      <c r="AH91" s="6" t="s">
        <v>152</v>
      </c>
      <c r="AI91" s="6" t="s">
        <v>152</v>
      </c>
      <c r="AJ91" s="6" t="s">
        <v>152</v>
      </c>
      <c r="AK91" s="6" t="s">
        <v>152</v>
      </c>
      <c r="AL91" s="6" t="s">
        <v>152</v>
      </c>
      <c r="AM91" s="6" t="s">
        <v>152</v>
      </c>
      <c r="AN91" s="6" t="s">
        <v>152</v>
      </c>
      <c r="AO91" s="6" t="s">
        <v>152</v>
      </c>
      <c r="AP91" s="6" t="s">
        <v>152</v>
      </c>
      <c r="AQ91" s="6" t="s">
        <v>152</v>
      </c>
      <c r="AR91" s="6" t="s">
        <v>152</v>
      </c>
    </row>
    <row r="92" spans="1:44" x14ac:dyDescent="0.2">
      <c r="A92" s="1" t="str">
        <f ca="1">IFERROR(__xludf.DUMMYFUNCTION("""COMPUTED_VALUE"""),"Lumatrix")</f>
        <v>Lumatrix</v>
      </c>
      <c r="B92" s="6" t="s">
        <v>152</v>
      </c>
      <c r="C92" s="6" t="s">
        <v>152</v>
      </c>
      <c r="D92" s="6" t="s">
        <v>152</v>
      </c>
      <c r="E92" s="6" t="s">
        <v>152</v>
      </c>
      <c r="F92" s="9" t="s">
        <v>165</v>
      </c>
      <c r="G92" s="6" t="s">
        <v>152</v>
      </c>
      <c r="H92" s="6" t="s">
        <v>152</v>
      </c>
      <c r="I92" s="6" t="s">
        <v>152</v>
      </c>
      <c r="J92" s="6" t="s">
        <v>152</v>
      </c>
      <c r="K92" s="6" t="s">
        <v>152</v>
      </c>
      <c r="L92" s="6" t="s">
        <v>152</v>
      </c>
      <c r="M92" s="6" t="s">
        <v>152</v>
      </c>
      <c r="N92" s="6" t="s">
        <v>152</v>
      </c>
      <c r="O92" s="6" t="s">
        <v>152</v>
      </c>
      <c r="P92" s="6" t="s">
        <v>152</v>
      </c>
      <c r="Q92" s="6" t="s">
        <v>152</v>
      </c>
      <c r="R92" s="6" t="s">
        <v>152</v>
      </c>
      <c r="S92" s="6" t="s">
        <v>152</v>
      </c>
      <c r="T92" s="6" t="s">
        <v>152</v>
      </c>
      <c r="U92" s="6" t="s">
        <v>152</v>
      </c>
      <c r="V92" s="6" t="s">
        <v>152</v>
      </c>
      <c r="W92" s="6" t="s">
        <v>152</v>
      </c>
      <c r="X92" s="6" t="s">
        <v>152</v>
      </c>
      <c r="Y92" s="6" t="s">
        <v>152</v>
      </c>
      <c r="Z92" s="6" t="s">
        <v>152</v>
      </c>
      <c r="AA92" s="6" t="s">
        <v>152</v>
      </c>
      <c r="AB92" s="6" t="s">
        <v>152</v>
      </c>
      <c r="AC92" s="6" t="s">
        <v>152</v>
      </c>
      <c r="AD92" s="6" t="s">
        <v>152</v>
      </c>
      <c r="AE92" s="6" t="s">
        <v>152</v>
      </c>
      <c r="AF92" s="6" t="s">
        <v>152</v>
      </c>
      <c r="AG92" s="6" t="s">
        <v>152</v>
      </c>
      <c r="AH92" s="6" t="s">
        <v>152</v>
      </c>
      <c r="AI92" s="6" t="s">
        <v>152</v>
      </c>
      <c r="AJ92" s="9" t="s">
        <v>165</v>
      </c>
      <c r="AK92" s="6" t="s">
        <v>152</v>
      </c>
      <c r="AL92" s="6" t="s">
        <v>152</v>
      </c>
      <c r="AM92" s="6" t="s">
        <v>152</v>
      </c>
      <c r="AN92" s="6" t="s">
        <v>152</v>
      </c>
      <c r="AO92" s="6" t="s">
        <v>152</v>
      </c>
      <c r="AP92" s="6" t="s">
        <v>152</v>
      </c>
      <c r="AQ92" s="6" t="s">
        <v>152</v>
      </c>
      <c r="AR92" s="6" t="s">
        <v>152</v>
      </c>
    </row>
    <row r="93" spans="1:44" x14ac:dyDescent="0.2">
      <c r="A93" s="1" t="str">
        <f ca="1">IFERROR(__xludf.DUMMYFUNCTION("""COMPUTED_VALUE"""),"M’Baku")</f>
        <v>M’Baku</v>
      </c>
      <c r="B93" s="6" t="s">
        <v>152</v>
      </c>
      <c r="C93" s="6" t="s">
        <v>152</v>
      </c>
      <c r="D93" s="6" t="s">
        <v>152</v>
      </c>
      <c r="E93" s="6" t="s">
        <v>152</v>
      </c>
      <c r="F93" s="6" t="s">
        <v>152</v>
      </c>
      <c r="G93" s="6" t="s">
        <v>152</v>
      </c>
      <c r="H93" s="6" t="s">
        <v>152</v>
      </c>
      <c r="I93" s="6" t="s">
        <v>152</v>
      </c>
      <c r="J93" s="6" t="s">
        <v>152</v>
      </c>
      <c r="K93" s="6" t="s">
        <v>152</v>
      </c>
      <c r="L93" s="6" t="s">
        <v>152</v>
      </c>
      <c r="M93" s="6" t="s">
        <v>152</v>
      </c>
      <c r="N93" s="6" t="s">
        <v>152</v>
      </c>
      <c r="O93" s="6" t="s">
        <v>152</v>
      </c>
      <c r="P93" s="6" t="s">
        <v>152</v>
      </c>
      <c r="Q93" s="6" t="s">
        <v>152</v>
      </c>
      <c r="R93" s="9" t="s">
        <v>165</v>
      </c>
      <c r="S93" s="6" t="s">
        <v>152</v>
      </c>
      <c r="T93" s="6" t="s">
        <v>152</v>
      </c>
      <c r="U93" s="6" t="s">
        <v>152</v>
      </c>
      <c r="V93" s="6" t="s">
        <v>152</v>
      </c>
      <c r="W93" s="6" t="s">
        <v>152</v>
      </c>
      <c r="X93" s="6" t="s">
        <v>152</v>
      </c>
      <c r="Y93" s="6" t="s">
        <v>152</v>
      </c>
      <c r="Z93" s="6" t="s">
        <v>152</v>
      </c>
      <c r="AA93" s="6" t="s">
        <v>152</v>
      </c>
      <c r="AB93" s="6" t="s">
        <v>152</v>
      </c>
      <c r="AC93" s="6" t="s">
        <v>152</v>
      </c>
      <c r="AD93" s="6" t="s">
        <v>152</v>
      </c>
      <c r="AE93" s="6" t="s">
        <v>152</v>
      </c>
      <c r="AF93" s="6" t="s">
        <v>152</v>
      </c>
      <c r="AG93" s="6" t="s">
        <v>152</v>
      </c>
      <c r="AH93" s="6" t="s">
        <v>152</v>
      </c>
      <c r="AI93" s="6" t="s">
        <v>152</v>
      </c>
      <c r="AJ93" s="6" t="s">
        <v>152</v>
      </c>
      <c r="AK93" s="6" t="s">
        <v>152</v>
      </c>
      <c r="AL93" s="6" t="s">
        <v>152</v>
      </c>
      <c r="AM93" s="6" t="s">
        <v>152</v>
      </c>
      <c r="AN93" s="6" t="s">
        <v>152</v>
      </c>
      <c r="AO93" s="6" t="s">
        <v>152</v>
      </c>
      <c r="AP93" s="6" t="s">
        <v>152</v>
      </c>
      <c r="AQ93" s="6" t="s">
        <v>152</v>
      </c>
      <c r="AR93" s="6" t="s">
        <v>152</v>
      </c>
    </row>
    <row r="94" spans="1:44" x14ac:dyDescent="0.2">
      <c r="A94" s="1" t="str">
        <f ca="1">IFERROR(__xludf.DUMMYFUNCTION("""COMPUTED_VALUE"""),"Madelyne Pryor")</f>
        <v>Madelyne Pryor</v>
      </c>
      <c r="B94" s="6" t="s">
        <v>152</v>
      </c>
      <c r="C94" s="6" t="s">
        <v>152</v>
      </c>
      <c r="D94" s="6" t="s">
        <v>152</v>
      </c>
      <c r="E94" s="6" t="s">
        <v>152</v>
      </c>
      <c r="F94" s="9" t="s">
        <v>165</v>
      </c>
      <c r="G94" s="6" t="s">
        <v>152</v>
      </c>
      <c r="H94" s="6" t="s">
        <v>152</v>
      </c>
      <c r="I94" s="6" t="s">
        <v>152</v>
      </c>
      <c r="J94" s="6" t="s">
        <v>152</v>
      </c>
      <c r="K94" s="6" t="s">
        <v>152</v>
      </c>
      <c r="L94" s="6" t="s">
        <v>152</v>
      </c>
      <c r="M94" s="6" t="s">
        <v>152</v>
      </c>
      <c r="N94" s="6" t="s">
        <v>152</v>
      </c>
      <c r="O94" s="6" t="s">
        <v>152</v>
      </c>
      <c r="P94" s="6" t="s">
        <v>152</v>
      </c>
      <c r="Q94" s="6" t="s">
        <v>152</v>
      </c>
      <c r="R94" s="6" t="s">
        <v>152</v>
      </c>
      <c r="S94" s="6" t="s">
        <v>152</v>
      </c>
      <c r="T94" s="6" t="s">
        <v>152</v>
      </c>
      <c r="U94" s="6" t="s">
        <v>152</v>
      </c>
      <c r="V94" s="6" t="s">
        <v>152</v>
      </c>
      <c r="W94" s="6" t="s">
        <v>152</v>
      </c>
      <c r="X94" s="6" t="s">
        <v>152</v>
      </c>
      <c r="Y94" s="6" t="s">
        <v>152</v>
      </c>
      <c r="Z94" s="6" t="s">
        <v>152</v>
      </c>
      <c r="AA94" s="6" t="s">
        <v>152</v>
      </c>
      <c r="AB94" s="6" t="s">
        <v>152</v>
      </c>
      <c r="AC94" s="6" t="s">
        <v>152</v>
      </c>
      <c r="AD94" s="6" t="s">
        <v>152</v>
      </c>
      <c r="AE94" s="6" t="s">
        <v>152</v>
      </c>
      <c r="AF94" s="6" t="s">
        <v>152</v>
      </c>
      <c r="AG94" s="6" t="s">
        <v>152</v>
      </c>
      <c r="AH94" s="6" t="s">
        <v>152</v>
      </c>
      <c r="AI94" s="6" t="s">
        <v>152</v>
      </c>
      <c r="AJ94" s="9" t="s">
        <v>165</v>
      </c>
      <c r="AK94" s="6" t="s">
        <v>152</v>
      </c>
      <c r="AL94" s="6" t="s">
        <v>152</v>
      </c>
      <c r="AM94" s="6" t="s">
        <v>152</v>
      </c>
      <c r="AN94" s="6" t="s">
        <v>152</v>
      </c>
      <c r="AO94" s="6" t="s">
        <v>152</v>
      </c>
      <c r="AP94" s="6" t="s">
        <v>152</v>
      </c>
      <c r="AQ94" s="6" t="s">
        <v>152</v>
      </c>
      <c r="AR94" s="6" t="s">
        <v>152</v>
      </c>
    </row>
    <row r="95" spans="1:44" x14ac:dyDescent="0.2">
      <c r="A95" s="1" t="str">
        <f ca="1">IFERROR(__xludf.DUMMYFUNCTION("""COMPUTED_VALUE"""),"Maestro")</f>
        <v>Maestro</v>
      </c>
      <c r="B95" s="6" t="s">
        <v>152</v>
      </c>
      <c r="C95" s="6" t="s">
        <v>152</v>
      </c>
      <c r="D95" s="6" t="s">
        <v>152</v>
      </c>
      <c r="E95" s="6" t="s">
        <v>152</v>
      </c>
      <c r="F95" s="6" t="s">
        <v>152</v>
      </c>
      <c r="G95" s="6" t="s">
        <v>152</v>
      </c>
      <c r="H95" s="6" t="s">
        <v>152</v>
      </c>
      <c r="I95" s="6" t="s">
        <v>152</v>
      </c>
      <c r="J95" s="6" t="s">
        <v>152</v>
      </c>
      <c r="K95" s="6" t="s">
        <v>152</v>
      </c>
      <c r="L95" s="6" t="s">
        <v>152</v>
      </c>
      <c r="M95" s="6" t="s">
        <v>152</v>
      </c>
      <c r="N95" s="6" t="s">
        <v>152</v>
      </c>
      <c r="O95" s="6" t="s">
        <v>152</v>
      </c>
      <c r="P95" s="6" t="s">
        <v>152</v>
      </c>
      <c r="Q95" s="6" t="s">
        <v>152</v>
      </c>
      <c r="R95" s="6" t="s">
        <v>152</v>
      </c>
      <c r="S95" s="6" t="s">
        <v>152</v>
      </c>
      <c r="T95" s="9" t="s">
        <v>165</v>
      </c>
      <c r="U95" s="6" t="s">
        <v>152</v>
      </c>
      <c r="V95" s="6" t="s">
        <v>152</v>
      </c>
      <c r="W95" s="6" t="s">
        <v>152</v>
      </c>
      <c r="X95" s="6" t="s">
        <v>152</v>
      </c>
      <c r="Y95" s="6" t="s">
        <v>152</v>
      </c>
      <c r="Z95" s="6" t="s">
        <v>152</v>
      </c>
      <c r="AA95" s="6" t="s">
        <v>152</v>
      </c>
      <c r="AB95" s="9" t="s">
        <v>165</v>
      </c>
      <c r="AC95" s="6" t="s">
        <v>152</v>
      </c>
      <c r="AD95" s="6" t="s">
        <v>152</v>
      </c>
      <c r="AE95" s="6" t="s">
        <v>152</v>
      </c>
      <c r="AF95" s="6" t="s">
        <v>152</v>
      </c>
      <c r="AG95" s="6" t="s">
        <v>152</v>
      </c>
      <c r="AH95" s="6" t="s">
        <v>152</v>
      </c>
      <c r="AI95" s="6" t="s">
        <v>152</v>
      </c>
      <c r="AJ95" s="6" t="s">
        <v>152</v>
      </c>
      <c r="AK95" s="9" t="s">
        <v>165</v>
      </c>
      <c r="AL95" s="6" t="s">
        <v>152</v>
      </c>
      <c r="AM95" s="6" t="s">
        <v>152</v>
      </c>
      <c r="AN95" s="6" t="s">
        <v>152</v>
      </c>
      <c r="AO95" s="6" t="s">
        <v>152</v>
      </c>
      <c r="AP95" s="6" t="s">
        <v>152</v>
      </c>
      <c r="AQ95" s="6" t="s">
        <v>152</v>
      </c>
      <c r="AR95" s="6" t="s">
        <v>152</v>
      </c>
    </row>
    <row r="96" spans="1:44" x14ac:dyDescent="0.2">
      <c r="A96" s="1" t="str">
        <f ca="1">IFERROR(__xludf.DUMMYFUNCTION("""COMPUTED_VALUE"""),"Magik")</f>
        <v>Magik</v>
      </c>
      <c r="B96" s="6" t="s">
        <v>152</v>
      </c>
      <c r="C96" s="6" t="s">
        <v>152</v>
      </c>
      <c r="D96" s="6" t="s">
        <v>152</v>
      </c>
      <c r="E96" s="6" t="s">
        <v>152</v>
      </c>
      <c r="F96" s="9" t="s">
        <v>165</v>
      </c>
      <c r="G96" s="6" t="s">
        <v>152</v>
      </c>
      <c r="H96" s="6" t="s">
        <v>152</v>
      </c>
      <c r="I96" s="6" t="s">
        <v>152</v>
      </c>
      <c r="J96" s="6" t="s">
        <v>152</v>
      </c>
      <c r="K96" s="6" t="s">
        <v>152</v>
      </c>
      <c r="L96" s="6" t="s">
        <v>152</v>
      </c>
      <c r="M96" s="6" t="s">
        <v>152</v>
      </c>
      <c r="N96" s="6" t="s">
        <v>152</v>
      </c>
      <c r="O96" s="6" t="s">
        <v>152</v>
      </c>
      <c r="P96" s="6" t="s">
        <v>152</v>
      </c>
      <c r="Q96" s="6" t="s">
        <v>152</v>
      </c>
      <c r="R96" s="6" t="s">
        <v>152</v>
      </c>
      <c r="S96" s="6" t="s">
        <v>152</v>
      </c>
      <c r="T96" s="6" t="s">
        <v>152</v>
      </c>
      <c r="U96" s="6" t="s">
        <v>152</v>
      </c>
      <c r="V96" s="6" t="s">
        <v>152</v>
      </c>
      <c r="W96" s="6" t="s">
        <v>152</v>
      </c>
      <c r="X96" s="6" t="s">
        <v>152</v>
      </c>
      <c r="Y96" s="6" t="s">
        <v>152</v>
      </c>
      <c r="Z96" s="6" t="s">
        <v>152</v>
      </c>
      <c r="AA96" s="6" t="s">
        <v>152</v>
      </c>
      <c r="AB96" s="6" t="s">
        <v>152</v>
      </c>
      <c r="AC96" s="6" t="s">
        <v>152</v>
      </c>
      <c r="AD96" s="6" t="s">
        <v>152</v>
      </c>
      <c r="AE96" s="6" t="s">
        <v>152</v>
      </c>
      <c r="AF96" s="6" t="s">
        <v>152</v>
      </c>
      <c r="AG96" s="6" t="s">
        <v>152</v>
      </c>
      <c r="AH96" s="6" t="s">
        <v>152</v>
      </c>
      <c r="AI96" s="6" t="s">
        <v>152</v>
      </c>
      <c r="AJ96" s="6" t="s">
        <v>152</v>
      </c>
      <c r="AK96" s="6" t="s">
        <v>152</v>
      </c>
      <c r="AL96" s="6" t="s">
        <v>152</v>
      </c>
      <c r="AM96" s="6" t="s">
        <v>152</v>
      </c>
      <c r="AN96" s="6" t="s">
        <v>152</v>
      </c>
      <c r="AO96" s="6" t="s">
        <v>152</v>
      </c>
      <c r="AP96" s="6" t="s">
        <v>152</v>
      </c>
      <c r="AQ96" s="6" t="s">
        <v>152</v>
      </c>
      <c r="AR96" s="6" t="s">
        <v>152</v>
      </c>
    </row>
    <row r="97" spans="1:44" x14ac:dyDescent="0.2">
      <c r="A97" s="1" t="str">
        <f ca="1">IFERROR(__xludf.DUMMYFUNCTION("""COMPUTED_VALUE"""),"Magneto (House of X)")</f>
        <v>Magneto (House of X)</v>
      </c>
      <c r="B97" s="6" t="s">
        <v>152</v>
      </c>
      <c r="C97" s="6" t="s">
        <v>152</v>
      </c>
      <c r="D97" s="6" t="s">
        <v>152</v>
      </c>
      <c r="E97" s="6" t="s">
        <v>152</v>
      </c>
      <c r="F97" s="9" t="s">
        <v>165</v>
      </c>
      <c r="G97" s="6" t="s">
        <v>152</v>
      </c>
      <c r="H97" s="6" t="s">
        <v>152</v>
      </c>
      <c r="I97" s="6" t="s">
        <v>152</v>
      </c>
      <c r="J97" s="6" t="s">
        <v>152</v>
      </c>
      <c r="K97" s="6" t="s">
        <v>152</v>
      </c>
      <c r="L97" s="6" t="s">
        <v>152</v>
      </c>
      <c r="M97" s="6" t="s">
        <v>152</v>
      </c>
      <c r="N97" s="6" t="s">
        <v>152</v>
      </c>
      <c r="O97" s="6" t="s">
        <v>152</v>
      </c>
      <c r="P97" s="6" t="s">
        <v>152</v>
      </c>
      <c r="Q97" s="6" t="s">
        <v>152</v>
      </c>
      <c r="R97" s="6" t="s">
        <v>152</v>
      </c>
      <c r="S97" s="6" t="s">
        <v>152</v>
      </c>
      <c r="T97" s="6" t="s">
        <v>152</v>
      </c>
      <c r="U97" s="6" t="s">
        <v>152</v>
      </c>
      <c r="V97" s="6" t="s">
        <v>152</v>
      </c>
      <c r="W97" s="6" t="s">
        <v>152</v>
      </c>
      <c r="X97" s="6" t="s">
        <v>152</v>
      </c>
      <c r="Y97" s="6" t="s">
        <v>152</v>
      </c>
      <c r="Z97" s="6" t="s">
        <v>152</v>
      </c>
      <c r="AA97" s="6" t="s">
        <v>152</v>
      </c>
      <c r="AB97" s="6" t="s">
        <v>152</v>
      </c>
      <c r="AC97" s="6" t="s">
        <v>152</v>
      </c>
      <c r="AD97" s="6" t="s">
        <v>152</v>
      </c>
      <c r="AE97" s="6" t="s">
        <v>152</v>
      </c>
      <c r="AF97" s="6" t="s">
        <v>152</v>
      </c>
      <c r="AG97" s="6" t="s">
        <v>152</v>
      </c>
      <c r="AH97" s="6" t="s">
        <v>152</v>
      </c>
      <c r="AI97" s="6" t="s">
        <v>152</v>
      </c>
      <c r="AJ97" s="6" t="s">
        <v>152</v>
      </c>
      <c r="AK97" s="6" t="s">
        <v>152</v>
      </c>
      <c r="AL97" s="6" t="s">
        <v>152</v>
      </c>
      <c r="AM97" s="6" t="s">
        <v>152</v>
      </c>
      <c r="AN97" s="6" t="s">
        <v>152</v>
      </c>
      <c r="AO97" s="6" t="s">
        <v>152</v>
      </c>
      <c r="AP97" s="6" t="s">
        <v>152</v>
      </c>
      <c r="AQ97" s="6" t="s">
        <v>152</v>
      </c>
      <c r="AR97" s="6" t="s">
        <v>152</v>
      </c>
    </row>
    <row r="98" spans="1:44" x14ac:dyDescent="0.2">
      <c r="A98" s="1" t="str">
        <f ca="1">IFERROR(__xludf.DUMMYFUNCTION("""COMPUTED_VALUE"""),"Man-Thing")</f>
        <v>Man-Thing</v>
      </c>
      <c r="B98" s="6" t="s">
        <v>152</v>
      </c>
      <c r="C98" s="9" t="s">
        <v>165</v>
      </c>
      <c r="D98" s="9" t="s">
        <v>165</v>
      </c>
      <c r="E98" s="6" t="s">
        <v>152</v>
      </c>
      <c r="F98" s="9" t="s">
        <v>165</v>
      </c>
      <c r="G98" s="6" t="s">
        <v>152</v>
      </c>
      <c r="H98" s="6" t="s">
        <v>152</v>
      </c>
      <c r="I98" s="6" t="s">
        <v>152</v>
      </c>
      <c r="J98" s="6" t="s">
        <v>152</v>
      </c>
      <c r="K98" s="6" t="s">
        <v>152</v>
      </c>
      <c r="L98" s="6" t="s">
        <v>152</v>
      </c>
      <c r="M98" s="6" t="s">
        <v>152</v>
      </c>
      <c r="N98" s="6" t="s">
        <v>152</v>
      </c>
      <c r="O98" s="6" t="s">
        <v>152</v>
      </c>
      <c r="P98" s="6" t="s">
        <v>152</v>
      </c>
      <c r="Q98" s="6" t="s">
        <v>152</v>
      </c>
      <c r="R98" s="6" t="s">
        <v>152</v>
      </c>
      <c r="S98" s="6" t="s">
        <v>152</v>
      </c>
      <c r="T98" s="6" t="s">
        <v>152</v>
      </c>
      <c r="U98" s="6" t="s">
        <v>152</v>
      </c>
      <c r="V98" s="6" t="s">
        <v>152</v>
      </c>
      <c r="W98" s="6" t="s">
        <v>152</v>
      </c>
      <c r="X98" s="6" t="s">
        <v>152</v>
      </c>
      <c r="Y98" s="6" t="s">
        <v>152</v>
      </c>
      <c r="Z98" s="6" t="s">
        <v>152</v>
      </c>
      <c r="AA98" s="6" t="s">
        <v>152</v>
      </c>
      <c r="AB98" s="6" t="s">
        <v>152</v>
      </c>
      <c r="AC98" s="6" t="s">
        <v>152</v>
      </c>
      <c r="AD98" s="6" t="s">
        <v>152</v>
      </c>
      <c r="AE98" s="6" t="s">
        <v>152</v>
      </c>
      <c r="AF98" s="6" t="s">
        <v>152</v>
      </c>
      <c r="AG98" s="6" t="s">
        <v>152</v>
      </c>
      <c r="AH98" s="6" t="s">
        <v>152</v>
      </c>
      <c r="AI98" s="6" t="s">
        <v>152</v>
      </c>
      <c r="AJ98" s="6" t="s">
        <v>152</v>
      </c>
      <c r="AK98" s="6" t="s">
        <v>152</v>
      </c>
      <c r="AL98" s="6" t="s">
        <v>152</v>
      </c>
      <c r="AM98" s="6" t="s">
        <v>152</v>
      </c>
      <c r="AN98" s="6" t="s">
        <v>152</v>
      </c>
      <c r="AO98" s="6" t="s">
        <v>152</v>
      </c>
      <c r="AP98" s="6" t="s">
        <v>152</v>
      </c>
      <c r="AQ98" s="6" t="s">
        <v>152</v>
      </c>
      <c r="AR98" s="6" t="s">
        <v>152</v>
      </c>
    </row>
    <row r="99" spans="1:44" x14ac:dyDescent="0.2">
      <c r="A99" s="1" t="str">
        <f ca="1">IFERROR(__xludf.DUMMYFUNCTION("""COMPUTED_VALUE"""),"Mangog")</f>
        <v>Mangog</v>
      </c>
      <c r="B99" s="6" t="s">
        <v>152</v>
      </c>
      <c r="C99" s="9" t="s">
        <v>165</v>
      </c>
      <c r="D99" s="6" t="s">
        <v>152</v>
      </c>
      <c r="E99" s="6" t="s">
        <v>152</v>
      </c>
      <c r="F99" s="9" t="s">
        <v>165</v>
      </c>
      <c r="G99" s="6" t="s">
        <v>152</v>
      </c>
      <c r="H99" s="6" t="s">
        <v>152</v>
      </c>
      <c r="I99" s="6" t="s">
        <v>152</v>
      </c>
      <c r="J99" s="6" t="s">
        <v>152</v>
      </c>
      <c r="K99" s="6" t="s">
        <v>152</v>
      </c>
      <c r="L99" s="6" t="s">
        <v>152</v>
      </c>
      <c r="M99" s="6" t="s">
        <v>152</v>
      </c>
      <c r="N99" s="6" t="s">
        <v>152</v>
      </c>
      <c r="O99" s="6" t="s">
        <v>152</v>
      </c>
      <c r="P99" s="6" t="s">
        <v>152</v>
      </c>
      <c r="Q99" s="6" t="s">
        <v>152</v>
      </c>
      <c r="R99" s="6" t="s">
        <v>152</v>
      </c>
      <c r="S99" s="6" t="s">
        <v>152</v>
      </c>
      <c r="T99" s="6" t="s">
        <v>152</v>
      </c>
      <c r="U99" s="6" t="s">
        <v>152</v>
      </c>
      <c r="V99" s="6" t="s">
        <v>152</v>
      </c>
      <c r="W99" s="6" t="s">
        <v>152</v>
      </c>
      <c r="X99" s="6" t="s">
        <v>152</v>
      </c>
      <c r="Y99" s="6" t="s">
        <v>152</v>
      </c>
      <c r="Z99" s="9" t="s">
        <v>165</v>
      </c>
      <c r="AA99" s="6" t="s">
        <v>152</v>
      </c>
      <c r="AB99" s="6" t="s">
        <v>152</v>
      </c>
      <c r="AC99" s="6" t="s">
        <v>152</v>
      </c>
      <c r="AD99" s="6" t="s">
        <v>152</v>
      </c>
      <c r="AE99" s="6" t="s">
        <v>152</v>
      </c>
      <c r="AF99" s="6" t="s">
        <v>152</v>
      </c>
      <c r="AG99" s="6" t="s">
        <v>152</v>
      </c>
      <c r="AH99" s="6" t="s">
        <v>152</v>
      </c>
      <c r="AI99" s="6" t="s">
        <v>152</v>
      </c>
      <c r="AJ99" s="6" t="s">
        <v>152</v>
      </c>
      <c r="AK99" s="6" t="s">
        <v>152</v>
      </c>
      <c r="AL99" s="6" t="s">
        <v>152</v>
      </c>
      <c r="AM99" s="6" t="s">
        <v>152</v>
      </c>
      <c r="AN99" s="6" t="s">
        <v>152</v>
      </c>
      <c r="AO99" s="6" t="s">
        <v>152</v>
      </c>
      <c r="AP99" s="6" t="s">
        <v>152</v>
      </c>
      <c r="AQ99" s="6" t="s">
        <v>152</v>
      </c>
      <c r="AR99" s="6" t="s">
        <v>152</v>
      </c>
    </row>
    <row r="100" spans="1:44" x14ac:dyDescent="0.2">
      <c r="A100" s="1" t="str">
        <f ca="1">IFERROR(__xludf.DUMMYFUNCTION("""COMPUTED_VALUE"""),"Masacre")</f>
        <v>Masacre</v>
      </c>
      <c r="B100" s="6" t="s">
        <v>152</v>
      </c>
      <c r="C100" s="6" t="s">
        <v>152</v>
      </c>
      <c r="D100" s="6" t="s">
        <v>152</v>
      </c>
      <c r="E100" s="6" t="s">
        <v>152</v>
      </c>
      <c r="F100" s="6" t="s">
        <v>152</v>
      </c>
      <c r="G100" s="6" t="s">
        <v>152</v>
      </c>
      <c r="H100" s="6" t="s">
        <v>152</v>
      </c>
      <c r="I100" s="6" t="s">
        <v>152</v>
      </c>
      <c r="J100" s="6" t="s">
        <v>152</v>
      </c>
      <c r="K100" s="6" t="s">
        <v>152</v>
      </c>
      <c r="L100" s="6" t="s">
        <v>152</v>
      </c>
      <c r="M100" s="6" t="s">
        <v>152</v>
      </c>
      <c r="N100" s="6" t="s">
        <v>152</v>
      </c>
      <c r="O100" s="6" t="s">
        <v>152</v>
      </c>
      <c r="P100" s="6" t="s">
        <v>152</v>
      </c>
      <c r="Q100" s="6" t="s">
        <v>152</v>
      </c>
      <c r="R100" s="6" t="s">
        <v>152</v>
      </c>
      <c r="S100" s="6" t="s">
        <v>152</v>
      </c>
      <c r="T100" s="6" t="s">
        <v>152</v>
      </c>
      <c r="U100" s="6" t="s">
        <v>152</v>
      </c>
      <c r="V100" s="6" t="s">
        <v>152</v>
      </c>
      <c r="W100" s="6" t="s">
        <v>152</v>
      </c>
      <c r="X100" s="6" t="s">
        <v>152</v>
      </c>
      <c r="Y100" s="6" t="s">
        <v>152</v>
      </c>
      <c r="Z100" s="6" t="s">
        <v>152</v>
      </c>
      <c r="AA100" s="6" t="s">
        <v>152</v>
      </c>
      <c r="AB100" s="6" t="s">
        <v>152</v>
      </c>
      <c r="AC100" s="6" t="s">
        <v>152</v>
      </c>
      <c r="AD100" s="6" t="s">
        <v>152</v>
      </c>
      <c r="AE100" s="6" t="s">
        <v>152</v>
      </c>
      <c r="AF100" s="6" t="s">
        <v>152</v>
      </c>
      <c r="AG100" s="6" t="s">
        <v>152</v>
      </c>
      <c r="AH100" s="6" t="s">
        <v>152</v>
      </c>
      <c r="AI100" s="6" t="s">
        <v>152</v>
      </c>
      <c r="AJ100" s="6" t="s">
        <v>152</v>
      </c>
      <c r="AK100" s="9" t="s">
        <v>165</v>
      </c>
      <c r="AL100" s="6" t="s">
        <v>152</v>
      </c>
      <c r="AM100" s="6" t="s">
        <v>152</v>
      </c>
      <c r="AN100" s="6" t="s">
        <v>152</v>
      </c>
      <c r="AO100" s="6" t="s">
        <v>152</v>
      </c>
      <c r="AP100" s="6" t="s">
        <v>152</v>
      </c>
      <c r="AQ100" s="6" t="s">
        <v>152</v>
      </c>
      <c r="AR100" s="6" t="s">
        <v>152</v>
      </c>
    </row>
    <row r="101" spans="1:44" x14ac:dyDescent="0.2">
      <c r="A101" s="1" t="str">
        <f ca="1">IFERROR(__xludf.DUMMYFUNCTION("""COMPUTED_VALUE"""),"Medusa")</f>
        <v>Medusa</v>
      </c>
      <c r="B101" s="6" t="s">
        <v>152</v>
      </c>
      <c r="C101" s="6" t="s">
        <v>152</v>
      </c>
      <c r="D101" s="6" t="s">
        <v>152</v>
      </c>
      <c r="E101" s="6" t="s">
        <v>152</v>
      </c>
      <c r="F101" s="6" t="s">
        <v>152</v>
      </c>
      <c r="G101" s="6" t="s">
        <v>152</v>
      </c>
      <c r="H101" s="6" t="s">
        <v>152</v>
      </c>
      <c r="I101" s="6" t="s">
        <v>152</v>
      </c>
      <c r="J101" s="6" t="s">
        <v>152</v>
      </c>
      <c r="K101" s="6" t="s">
        <v>152</v>
      </c>
      <c r="L101" s="6" t="s">
        <v>152</v>
      </c>
      <c r="M101" s="6" t="s">
        <v>152</v>
      </c>
      <c r="N101" s="6" t="s">
        <v>152</v>
      </c>
      <c r="O101" s="6" t="s">
        <v>152</v>
      </c>
      <c r="P101" s="6" t="s">
        <v>152</v>
      </c>
      <c r="Q101" s="6" t="s">
        <v>152</v>
      </c>
      <c r="R101" s="6" t="s">
        <v>152</v>
      </c>
      <c r="S101" s="6" t="s">
        <v>152</v>
      </c>
      <c r="T101" s="6" t="s">
        <v>152</v>
      </c>
      <c r="U101" s="6" t="s">
        <v>152</v>
      </c>
      <c r="V101" s="6" t="s">
        <v>152</v>
      </c>
      <c r="W101" s="6" t="s">
        <v>152</v>
      </c>
      <c r="X101" s="6" t="s">
        <v>152</v>
      </c>
      <c r="Y101" s="6" t="s">
        <v>152</v>
      </c>
      <c r="Z101" s="6" t="s">
        <v>152</v>
      </c>
      <c r="AA101" s="6" t="s">
        <v>152</v>
      </c>
      <c r="AB101" s="9" t="s">
        <v>165</v>
      </c>
      <c r="AC101" s="6" t="s">
        <v>152</v>
      </c>
      <c r="AD101" s="6" t="s">
        <v>152</v>
      </c>
      <c r="AE101" s="6" t="s">
        <v>152</v>
      </c>
      <c r="AF101" s="6" t="s">
        <v>152</v>
      </c>
      <c r="AG101" s="6" t="s">
        <v>152</v>
      </c>
      <c r="AH101" s="6" t="s">
        <v>152</v>
      </c>
      <c r="AI101" s="6" t="s">
        <v>152</v>
      </c>
      <c r="AJ101" s="6" t="s">
        <v>152</v>
      </c>
      <c r="AK101" s="6" t="s">
        <v>152</v>
      </c>
      <c r="AL101" s="6" t="s">
        <v>152</v>
      </c>
      <c r="AM101" s="6" t="s">
        <v>152</v>
      </c>
      <c r="AN101" s="6" t="s">
        <v>152</v>
      </c>
      <c r="AO101" s="6" t="s">
        <v>152</v>
      </c>
      <c r="AP101" s="6" t="s">
        <v>152</v>
      </c>
      <c r="AQ101" s="6" t="s">
        <v>152</v>
      </c>
      <c r="AR101" s="6" t="s">
        <v>152</v>
      </c>
    </row>
    <row r="102" spans="1:44" x14ac:dyDescent="0.2">
      <c r="A102" s="1" t="str">
        <f ca="1">IFERROR(__xludf.DUMMYFUNCTION("""COMPUTED_VALUE"""),"Mephisto")</f>
        <v>Mephisto</v>
      </c>
      <c r="B102" s="6" t="s">
        <v>152</v>
      </c>
      <c r="C102" s="6" t="s">
        <v>152</v>
      </c>
      <c r="D102" s="6" t="s">
        <v>152</v>
      </c>
      <c r="E102" s="6" t="s">
        <v>152</v>
      </c>
      <c r="F102" s="9" t="s">
        <v>165</v>
      </c>
      <c r="G102" s="6" t="s">
        <v>152</v>
      </c>
      <c r="H102" s="9" t="s">
        <v>165</v>
      </c>
      <c r="I102" s="6" t="s">
        <v>152</v>
      </c>
      <c r="J102" s="6" t="s">
        <v>152</v>
      </c>
      <c r="K102" s="6" t="s">
        <v>152</v>
      </c>
      <c r="L102" s="6" t="s">
        <v>152</v>
      </c>
      <c r="M102" s="6" t="s">
        <v>152</v>
      </c>
      <c r="N102" s="6" t="s">
        <v>152</v>
      </c>
      <c r="O102" s="6" t="s">
        <v>152</v>
      </c>
      <c r="P102" s="6" t="s">
        <v>152</v>
      </c>
      <c r="Q102" s="6" t="s">
        <v>152</v>
      </c>
      <c r="R102" s="9" t="s">
        <v>165</v>
      </c>
      <c r="S102" s="6" t="s">
        <v>152</v>
      </c>
      <c r="T102" s="6" t="s">
        <v>152</v>
      </c>
      <c r="U102" s="6" t="s">
        <v>152</v>
      </c>
      <c r="V102" s="6" t="s">
        <v>152</v>
      </c>
      <c r="W102" s="6" t="s">
        <v>152</v>
      </c>
      <c r="X102" s="6" t="s">
        <v>152</v>
      </c>
      <c r="Y102" s="6" t="s">
        <v>152</v>
      </c>
      <c r="Z102" s="6" t="s">
        <v>152</v>
      </c>
      <c r="AA102" s="6" t="s">
        <v>152</v>
      </c>
      <c r="AB102" s="9" t="s">
        <v>165</v>
      </c>
      <c r="AC102" s="6" t="s">
        <v>152</v>
      </c>
      <c r="AD102" s="6" t="s">
        <v>152</v>
      </c>
      <c r="AE102" s="6" t="s">
        <v>152</v>
      </c>
      <c r="AF102" s="6" t="s">
        <v>152</v>
      </c>
      <c r="AG102" s="6" t="s">
        <v>152</v>
      </c>
      <c r="AH102" s="6" t="s">
        <v>152</v>
      </c>
      <c r="AI102" s="6" t="s">
        <v>152</v>
      </c>
      <c r="AJ102" s="6" t="s">
        <v>152</v>
      </c>
      <c r="AK102" s="6" t="s">
        <v>152</v>
      </c>
      <c r="AL102" s="6" t="s">
        <v>152</v>
      </c>
      <c r="AM102" s="6" t="s">
        <v>152</v>
      </c>
      <c r="AN102" s="6" t="s">
        <v>152</v>
      </c>
      <c r="AO102" s="6" t="s">
        <v>152</v>
      </c>
      <c r="AP102" s="6" t="s">
        <v>152</v>
      </c>
      <c r="AQ102" s="6" t="s">
        <v>152</v>
      </c>
      <c r="AR102" s="6" t="s">
        <v>152</v>
      </c>
    </row>
    <row r="103" spans="1:44" x14ac:dyDescent="0.2">
      <c r="A103" s="1" t="str">
        <f ca="1">IFERROR(__xludf.DUMMYFUNCTION("""COMPUTED_VALUE"""),"Mister Negative")</f>
        <v>Mister Negative</v>
      </c>
      <c r="B103" s="6" t="s">
        <v>152</v>
      </c>
      <c r="C103" s="6" t="s">
        <v>152</v>
      </c>
      <c r="D103" s="6" t="s">
        <v>152</v>
      </c>
      <c r="E103" s="6" t="s">
        <v>152</v>
      </c>
      <c r="F103" s="6" t="s">
        <v>152</v>
      </c>
      <c r="G103" s="6" t="s">
        <v>152</v>
      </c>
      <c r="H103" s="6" t="s">
        <v>152</v>
      </c>
      <c r="I103" s="6" t="s">
        <v>152</v>
      </c>
      <c r="J103" s="6" t="s">
        <v>152</v>
      </c>
      <c r="K103" s="6" t="s">
        <v>152</v>
      </c>
      <c r="L103" s="6" t="s">
        <v>152</v>
      </c>
      <c r="M103" s="6" t="s">
        <v>152</v>
      </c>
      <c r="N103" s="6" t="s">
        <v>152</v>
      </c>
      <c r="O103" s="6" t="s">
        <v>152</v>
      </c>
      <c r="P103" s="9" t="s">
        <v>165</v>
      </c>
      <c r="Q103" s="6" t="s">
        <v>152</v>
      </c>
      <c r="R103" s="6" t="s">
        <v>152</v>
      </c>
      <c r="S103" s="6" t="s">
        <v>152</v>
      </c>
      <c r="T103" s="6" t="s">
        <v>152</v>
      </c>
      <c r="U103" s="6" t="s">
        <v>152</v>
      </c>
      <c r="V103" s="6" t="s">
        <v>152</v>
      </c>
      <c r="W103" s="6" t="s">
        <v>152</v>
      </c>
      <c r="X103" s="6" t="s">
        <v>152</v>
      </c>
      <c r="Y103" s="6" t="s">
        <v>152</v>
      </c>
      <c r="Z103" s="9" t="s">
        <v>165</v>
      </c>
      <c r="AA103" s="6" t="s">
        <v>152</v>
      </c>
      <c r="AB103" s="6" t="s">
        <v>152</v>
      </c>
      <c r="AC103" s="6" t="s">
        <v>152</v>
      </c>
      <c r="AD103" s="6" t="s">
        <v>152</v>
      </c>
      <c r="AE103" s="6" t="s">
        <v>152</v>
      </c>
      <c r="AF103" s="6" t="s">
        <v>152</v>
      </c>
      <c r="AG103" s="6" t="s">
        <v>152</v>
      </c>
      <c r="AH103" s="6" t="s">
        <v>152</v>
      </c>
      <c r="AI103" s="6" t="s">
        <v>152</v>
      </c>
      <c r="AJ103" s="6" t="s">
        <v>152</v>
      </c>
      <c r="AK103" s="6" t="s">
        <v>152</v>
      </c>
      <c r="AL103" s="6" t="s">
        <v>152</v>
      </c>
      <c r="AM103" s="6" t="s">
        <v>152</v>
      </c>
      <c r="AN103" s="6" t="s">
        <v>152</v>
      </c>
      <c r="AO103" s="9" t="s">
        <v>165</v>
      </c>
      <c r="AP103" s="6" t="s">
        <v>152</v>
      </c>
      <c r="AQ103" s="6" t="s">
        <v>152</v>
      </c>
      <c r="AR103" s="6" t="s">
        <v>152</v>
      </c>
    </row>
    <row r="104" spans="1:44" x14ac:dyDescent="0.2">
      <c r="A104" s="1" t="str">
        <f ca="1">IFERROR(__xludf.DUMMYFUNCTION("""COMPUTED_VALUE"""),"Mister Sinister")</f>
        <v>Mister Sinister</v>
      </c>
      <c r="B104" s="6" t="s">
        <v>152</v>
      </c>
      <c r="C104" s="6" t="s">
        <v>152</v>
      </c>
      <c r="D104" s="6" t="s">
        <v>152</v>
      </c>
      <c r="E104" s="6" t="s">
        <v>152</v>
      </c>
      <c r="F104" s="6" t="s">
        <v>152</v>
      </c>
      <c r="G104" s="6" t="s">
        <v>152</v>
      </c>
      <c r="H104" s="6" t="s">
        <v>152</v>
      </c>
      <c r="I104" s="6" t="s">
        <v>152</v>
      </c>
      <c r="J104" s="6" t="s">
        <v>152</v>
      </c>
      <c r="K104" s="6" t="s">
        <v>152</v>
      </c>
      <c r="L104" s="6" t="s">
        <v>152</v>
      </c>
      <c r="M104" s="6" t="s">
        <v>152</v>
      </c>
      <c r="N104" s="6" t="s">
        <v>152</v>
      </c>
      <c r="O104" s="6" t="s">
        <v>152</v>
      </c>
      <c r="P104" s="6" t="s">
        <v>152</v>
      </c>
      <c r="Q104" s="6" t="s">
        <v>152</v>
      </c>
      <c r="R104" s="6" t="s">
        <v>152</v>
      </c>
      <c r="S104" s="6" t="s">
        <v>152</v>
      </c>
      <c r="T104" s="6" t="s">
        <v>152</v>
      </c>
      <c r="U104" s="6" t="s">
        <v>152</v>
      </c>
      <c r="V104" s="6" t="s">
        <v>152</v>
      </c>
      <c r="W104" s="6" t="s">
        <v>152</v>
      </c>
      <c r="X104" s="6" t="s">
        <v>152</v>
      </c>
      <c r="Y104" s="6" t="s">
        <v>152</v>
      </c>
      <c r="Z104" s="6" t="s">
        <v>152</v>
      </c>
      <c r="AA104" s="6" t="s">
        <v>152</v>
      </c>
      <c r="AB104" s="6" t="s">
        <v>152</v>
      </c>
      <c r="AC104" s="6" t="s">
        <v>152</v>
      </c>
      <c r="AD104" s="6" t="s">
        <v>152</v>
      </c>
      <c r="AE104" s="6" t="s">
        <v>152</v>
      </c>
      <c r="AF104" s="6" t="s">
        <v>152</v>
      </c>
      <c r="AG104" s="6" t="s">
        <v>152</v>
      </c>
      <c r="AH104" s="6" t="s">
        <v>152</v>
      </c>
      <c r="AI104" s="9" t="s">
        <v>165</v>
      </c>
      <c r="AJ104" s="6" t="s">
        <v>152</v>
      </c>
      <c r="AK104" s="6" t="s">
        <v>152</v>
      </c>
      <c r="AL104" s="6" t="s">
        <v>152</v>
      </c>
      <c r="AM104" s="6" t="s">
        <v>152</v>
      </c>
      <c r="AN104" s="6" t="s">
        <v>152</v>
      </c>
      <c r="AO104" s="6" t="s">
        <v>152</v>
      </c>
      <c r="AP104" s="6" t="s">
        <v>152</v>
      </c>
      <c r="AQ104" s="9" t="s">
        <v>165</v>
      </c>
      <c r="AR104" s="6" t="s">
        <v>152</v>
      </c>
    </row>
    <row r="105" spans="1:44" x14ac:dyDescent="0.2">
      <c r="A105" s="1" t="str">
        <f ca="1">IFERROR(__xludf.DUMMYFUNCTION("""COMPUTED_VALUE"""),"Mole Man")</f>
        <v>Mole Man</v>
      </c>
      <c r="B105" s="6" t="s">
        <v>152</v>
      </c>
      <c r="C105" s="6" t="s">
        <v>152</v>
      </c>
      <c r="D105" s="6" t="s">
        <v>152</v>
      </c>
      <c r="E105" s="6" t="s">
        <v>152</v>
      </c>
      <c r="F105" s="6" t="s">
        <v>152</v>
      </c>
      <c r="G105" s="6" t="s">
        <v>152</v>
      </c>
      <c r="H105" s="6" t="s">
        <v>152</v>
      </c>
      <c r="I105" s="6" t="s">
        <v>152</v>
      </c>
      <c r="J105" s="6" t="s">
        <v>152</v>
      </c>
      <c r="K105" s="6" t="s">
        <v>152</v>
      </c>
      <c r="L105" s="6" t="s">
        <v>152</v>
      </c>
      <c r="M105" s="6" t="s">
        <v>152</v>
      </c>
      <c r="N105" s="6" t="s">
        <v>152</v>
      </c>
      <c r="O105" s="6" t="s">
        <v>152</v>
      </c>
      <c r="P105" s="6" t="s">
        <v>152</v>
      </c>
      <c r="Q105" s="6" t="s">
        <v>152</v>
      </c>
      <c r="R105" s="6" t="s">
        <v>152</v>
      </c>
      <c r="S105" s="6" t="s">
        <v>152</v>
      </c>
      <c r="T105" s="6" t="s">
        <v>152</v>
      </c>
      <c r="U105" s="6" t="s">
        <v>152</v>
      </c>
      <c r="V105" s="6" t="s">
        <v>152</v>
      </c>
      <c r="W105" s="6" t="s">
        <v>152</v>
      </c>
      <c r="X105" s="6" t="s">
        <v>152</v>
      </c>
      <c r="Y105" s="6" t="s">
        <v>152</v>
      </c>
      <c r="Z105" s="6" t="s">
        <v>152</v>
      </c>
      <c r="AA105" s="6" t="s">
        <v>152</v>
      </c>
      <c r="AB105" s="6" t="s">
        <v>152</v>
      </c>
      <c r="AC105" s="6" t="s">
        <v>152</v>
      </c>
      <c r="AD105" s="6" t="s">
        <v>152</v>
      </c>
      <c r="AE105" s="6" t="s">
        <v>152</v>
      </c>
      <c r="AF105" s="6" t="s">
        <v>152</v>
      </c>
      <c r="AG105" s="6" t="s">
        <v>152</v>
      </c>
      <c r="AH105" s="6" t="s">
        <v>152</v>
      </c>
      <c r="AI105" s="6" t="s">
        <v>152</v>
      </c>
      <c r="AJ105" s="6" t="s">
        <v>152</v>
      </c>
      <c r="AK105" s="9" t="s">
        <v>165</v>
      </c>
      <c r="AL105" s="6" t="s">
        <v>152</v>
      </c>
      <c r="AM105" s="6" t="s">
        <v>152</v>
      </c>
      <c r="AN105" s="6" t="s">
        <v>152</v>
      </c>
      <c r="AO105" s="6" t="s">
        <v>152</v>
      </c>
      <c r="AP105" s="6" t="s">
        <v>152</v>
      </c>
      <c r="AQ105" s="6" t="s">
        <v>152</v>
      </c>
      <c r="AR105" s="6" t="s">
        <v>152</v>
      </c>
    </row>
    <row r="106" spans="1:44" x14ac:dyDescent="0.2">
      <c r="A106" s="1" t="str">
        <f ca="1">IFERROR(__xludf.DUMMYFUNCTION("""COMPUTED_VALUE"""),"Moondragon")</f>
        <v>Moondragon</v>
      </c>
      <c r="B106" s="6" t="s">
        <v>152</v>
      </c>
      <c r="C106" s="6" t="s">
        <v>152</v>
      </c>
      <c r="D106" s="6" t="s">
        <v>152</v>
      </c>
      <c r="E106" s="6" t="s">
        <v>152</v>
      </c>
      <c r="F106" s="6" t="s">
        <v>152</v>
      </c>
      <c r="G106" s="6" t="s">
        <v>152</v>
      </c>
      <c r="H106" s="6" t="s">
        <v>152</v>
      </c>
      <c r="I106" s="6" t="s">
        <v>152</v>
      </c>
      <c r="J106" s="6" t="s">
        <v>152</v>
      </c>
      <c r="K106" s="9" t="s">
        <v>165</v>
      </c>
      <c r="L106" s="6" t="s">
        <v>152</v>
      </c>
      <c r="M106" s="6" t="s">
        <v>152</v>
      </c>
      <c r="N106" s="6" t="s">
        <v>152</v>
      </c>
      <c r="O106" s="6" t="s">
        <v>152</v>
      </c>
      <c r="P106" s="6" t="s">
        <v>152</v>
      </c>
      <c r="Q106" s="6" t="s">
        <v>152</v>
      </c>
      <c r="R106" s="6" t="s">
        <v>152</v>
      </c>
      <c r="S106" s="6" t="s">
        <v>152</v>
      </c>
      <c r="T106" s="6" t="s">
        <v>152</v>
      </c>
      <c r="U106" s="6" t="s">
        <v>152</v>
      </c>
      <c r="V106" s="6" t="s">
        <v>152</v>
      </c>
      <c r="W106" s="6" t="s">
        <v>152</v>
      </c>
      <c r="X106" s="6" t="s">
        <v>152</v>
      </c>
      <c r="Y106" s="6" t="s">
        <v>152</v>
      </c>
      <c r="Z106" s="6" t="s">
        <v>152</v>
      </c>
      <c r="AA106" s="6" t="s">
        <v>152</v>
      </c>
      <c r="AB106" s="6" t="s">
        <v>152</v>
      </c>
      <c r="AC106" s="6" t="s">
        <v>152</v>
      </c>
      <c r="AD106" s="6" t="s">
        <v>152</v>
      </c>
      <c r="AE106" s="6" t="s">
        <v>152</v>
      </c>
      <c r="AF106" s="6" t="s">
        <v>152</v>
      </c>
      <c r="AG106" s="6" t="s">
        <v>152</v>
      </c>
      <c r="AH106" s="6" t="s">
        <v>152</v>
      </c>
      <c r="AI106" s="9" t="s">
        <v>165</v>
      </c>
      <c r="AJ106" s="6" t="s">
        <v>152</v>
      </c>
      <c r="AK106" s="6" t="s">
        <v>152</v>
      </c>
      <c r="AL106" s="6" t="s">
        <v>152</v>
      </c>
      <c r="AM106" s="6" t="s">
        <v>152</v>
      </c>
      <c r="AN106" s="6" t="s">
        <v>152</v>
      </c>
      <c r="AO106" s="6" t="s">
        <v>152</v>
      </c>
      <c r="AP106" s="6" t="s">
        <v>152</v>
      </c>
      <c r="AQ106" s="6" t="s">
        <v>152</v>
      </c>
      <c r="AR106" s="6" t="s">
        <v>152</v>
      </c>
    </row>
    <row r="107" spans="1:44" x14ac:dyDescent="0.2">
      <c r="A107" s="1" t="str">
        <f ca="1">IFERROR(__xludf.DUMMYFUNCTION("""COMPUTED_VALUE"""),"Mordo")</f>
        <v>Mordo</v>
      </c>
      <c r="B107" s="9" t="s">
        <v>165</v>
      </c>
      <c r="C107" s="6" t="s">
        <v>152</v>
      </c>
      <c r="D107" s="6" t="s">
        <v>152</v>
      </c>
      <c r="E107" s="6" t="s">
        <v>152</v>
      </c>
      <c r="F107" s="6" t="s">
        <v>152</v>
      </c>
      <c r="G107" s="6" t="s">
        <v>152</v>
      </c>
      <c r="H107" s="6" t="s">
        <v>152</v>
      </c>
      <c r="I107" s="6" t="s">
        <v>152</v>
      </c>
      <c r="J107" s="6" t="s">
        <v>152</v>
      </c>
      <c r="K107" s="6" t="s">
        <v>152</v>
      </c>
      <c r="L107" s="6" t="s">
        <v>152</v>
      </c>
      <c r="M107" s="6" t="s">
        <v>152</v>
      </c>
      <c r="N107" s="6" t="s">
        <v>152</v>
      </c>
      <c r="O107" s="6" t="s">
        <v>152</v>
      </c>
      <c r="P107" s="9" t="s">
        <v>165</v>
      </c>
      <c r="Q107" s="6" t="s">
        <v>152</v>
      </c>
      <c r="R107" s="6" t="s">
        <v>152</v>
      </c>
      <c r="S107" s="6" t="s">
        <v>152</v>
      </c>
      <c r="T107" s="6" t="s">
        <v>152</v>
      </c>
      <c r="U107" s="6" t="s">
        <v>152</v>
      </c>
      <c r="V107" s="6" t="s">
        <v>152</v>
      </c>
      <c r="W107" s="6" t="s">
        <v>152</v>
      </c>
      <c r="X107" s="6" t="s">
        <v>152</v>
      </c>
      <c r="Y107" s="6" t="s">
        <v>152</v>
      </c>
      <c r="Z107" s="9" t="s">
        <v>165</v>
      </c>
      <c r="AA107" s="6" t="s">
        <v>152</v>
      </c>
      <c r="AB107" s="6" t="s">
        <v>152</v>
      </c>
      <c r="AC107" s="6" t="s">
        <v>152</v>
      </c>
      <c r="AD107" s="6" t="s">
        <v>152</v>
      </c>
      <c r="AE107" s="6" t="s">
        <v>152</v>
      </c>
      <c r="AF107" s="6" t="s">
        <v>152</v>
      </c>
      <c r="AG107" s="6" t="s">
        <v>152</v>
      </c>
      <c r="AH107" s="6" t="s">
        <v>152</v>
      </c>
      <c r="AI107" s="6" t="s">
        <v>152</v>
      </c>
      <c r="AJ107" s="6" t="s">
        <v>152</v>
      </c>
      <c r="AK107" s="6" t="s">
        <v>152</v>
      </c>
      <c r="AL107" s="6" t="s">
        <v>152</v>
      </c>
      <c r="AM107" s="6" t="s">
        <v>152</v>
      </c>
      <c r="AN107" s="6" t="s">
        <v>152</v>
      </c>
      <c r="AO107" s="6" t="s">
        <v>152</v>
      </c>
      <c r="AP107" s="6" t="s">
        <v>152</v>
      </c>
      <c r="AQ107" s="6" t="s">
        <v>152</v>
      </c>
      <c r="AR107" s="6" t="s">
        <v>152</v>
      </c>
    </row>
    <row r="108" spans="1:44" x14ac:dyDescent="0.2">
      <c r="A108" s="1" t="str">
        <f ca="1">IFERROR(__xludf.DUMMYFUNCTION("""COMPUTED_VALUE"""),"Morningstar")</f>
        <v>Morningstar</v>
      </c>
      <c r="B108" s="6" t="s">
        <v>152</v>
      </c>
      <c r="C108" s="6" t="s">
        <v>152</v>
      </c>
      <c r="D108" s="6" t="s">
        <v>152</v>
      </c>
      <c r="E108" s="6" t="s">
        <v>152</v>
      </c>
      <c r="F108" s="9" t="s">
        <v>165</v>
      </c>
      <c r="G108" s="6" t="s">
        <v>152</v>
      </c>
      <c r="H108" s="6" t="s">
        <v>152</v>
      </c>
      <c r="I108" s="6" t="s">
        <v>152</v>
      </c>
      <c r="J108" s="6" t="s">
        <v>152</v>
      </c>
      <c r="K108" s="6" t="s">
        <v>152</v>
      </c>
      <c r="L108" s="6" t="s">
        <v>152</v>
      </c>
      <c r="M108" s="6" t="s">
        <v>152</v>
      </c>
      <c r="N108" s="6" t="s">
        <v>152</v>
      </c>
      <c r="O108" s="6" t="s">
        <v>152</v>
      </c>
      <c r="P108" s="6" t="s">
        <v>152</v>
      </c>
      <c r="Q108" s="6" t="s">
        <v>152</v>
      </c>
      <c r="R108" s="6" t="s">
        <v>152</v>
      </c>
      <c r="S108" s="6" t="s">
        <v>152</v>
      </c>
      <c r="T108" s="6" t="s">
        <v>152</v>
      </c>
      <c r="U108" s="6" t="s">
        <v>152</v>
      </c>
      <c r="V108" s="6" t="s">
        <v>152</v>
      </c>
      <c r="W108" s="6" t="s">
        <v>152</v>
      </c>
      <c r="X108" s="6" t="s">
        <v>152</v>
      </c>
      <c r="Y108" s="6" t="s">
        <v>152</v>
      </c>
      <c r="Z108" s="6" t="s">
        <v>152</v>
      </c>
      <c r="AA108" s="6" t="s">
        <v>152</v>
      </c>
      <c r="AB108" s="6" t="s">
        <v>152</v>
      </c>
      <c r="AC108" s="6" t="s">
        <v>152</v>
      </c>
      <c r="AD108" s="6" t="s">
        <v>152</v>
      </c>
      <c r="AE108" s="6" t="s">
        <v>152</v>
      </c>
      <c r="AF108" s="6" t="s">
        <v>152</v>
      </c>
      <c r="AG108" s="6" t="s">
        <v>152</v>
      </c>
      <c r="AH108" s="6" t="s">
        <v>152</v>
      </c>
      <c r="AI108" s="6" t="s">
        <v>152</v>
      </c>
      <c r="AJ108" s="6" t="s">
        <v>152</v>
      </c>
      <c r="AK108" s="6" t="s">
        <v>152</v>
      </c>
      <c r="AL108" s="6" t="s">
        <v>152</v>
      </c>
      <c r="AM108" s="6" t="s">
        <v>152</v>
      </c>
      <c r="AN108" s="6" t="s">
        <v>152</v>
      </c>
      <c r="AO108" s="6" t="s">
        <v>152</v>
      </c>
      <c r="AP108" s="6" t="s">
        <v>152</v>
      </c>
      <c r="AQ108" s="6" t="s">
        <v>152</v>
      </c>
      <c r="AR108" s="6" t="s">
        <v>152</v>
      </c>
    </row>
    <row r="109" spans="1:44" x14ac:dyDescent="0.2">
      <c r="A109" s="1" t="str">
        <f ca="1">IFERROR(__xludf.DUMMYFUNCTION("""COMPUTED_VALUE"""),"Ms. Marvel")</f>
        <v>Ms. Marvel</v>
      </c>
      <c r="B109" s="6" t="s">
        <v>152</v>
      </c>
      <c r="C109" s="6" t="s">
        <v>152</v>
      </c>
      <c r="D109" s="6" t="s">
        <v>152</v>
      </c>
      <c r="E109" s="6" t="s">
        <v>152</v>
      </c>
      <c r="F109" s="6" t="s">
        <v>152</v>
      </c>
      <c r="G109" s="6" t="s">
        <v>152</v>
      </c>
      <c r="H109" s="6" t="s">
        <v>152</v>
      </c>
      <c r="I109" s="6" t="s">
        <v>152</v>
      </c>
      <c r="J109" s="6" t="s">
        <v>152</v>
      </c>
      <c r="K109" s="6" t="s">
        <v>152</v>
      </c>
      <c r="L109" s="6" t="s">
        <v>152</v>
      </c>
      <c r="M109" s="6" t="s">
        <v>152</v>
      </c>
      <c r="N109" s="6" t="s">
        <v>152</v>
      </c>
      <c r="O109" s="6" t="s">
        <v>152</v>
      </c>
      <c r="P109" s="6" t="s">
        <v>152</v>
      </c>
      <c r="Q109" s="6" t="s">
        <v>152</v>
      </c>
      <c r="R109" s="6" t="s">
        <v>152</v>
      </c>
      <c r="S109" s="6" t="s">
        <v>152</v>
      </c>
      <c r="T109" s="6" t="s">
        <v>152</v>
      </c>
      <c r="U109" s="6" t="s">
        <v>152</v>
      </c>
      <c r="V109" s="6" t="s">
        <v>152</v>
      </c>
      <c r="W109" s="6" t="s">
        <v>152</v>
      </c>
      <c r="X109" s="6" t="s">
        <v>152</v>
      </c>
      <c r="Y109" s="6" t="s">
        <v>152</v>
      </c>
      <c r="Z109" s="6" t="s">
        <v>152</v>
      </c>
      <c r="AA109" s="6" t="s">
        <v>152</v>
      </c>
      <c r="AB109" s="9" t="s">
        <v>165</v>
      </c>
      <c r="AC109" s="6" t="s">
        <v>152</v>
      </c>
      <c r="AD109" s="6" t="s">
        <v>152</v>
      </c>
      <c r="AE109" s="6" t="s">
        <v>152</v>
      </c>
      <c r="AF109" s="6" t="s">
        <v>152</v>
      </c>
      <c r="AG109" s="6" t="s">
        <v>152</v>
      </c>
      <c r="AH109" s="6" t="s">
        <v>152</v>
      </c>
      <c r="AI109" s="6" t="s">
        <v>152</v>
      </c>
      <c r="AJ109" s="6" t="s">
        <v>152</v>
      </c>
      <c r="AK109" s="6" t="s">
        <v>152</v>
      </c>
      <c r="AL109" s="6" t="s">
        <v>152</v>
      </c>
      <c r="AM109" s="6" t="s">
        <v>152</v>
      </c>
      <c r="AN109" s="6" t="s">
        <v>152</v>
      </c>
      <c r="AO109" s="6" t="s">
        <v>152</v>
      </c>
      <c r="AP109" s="6" t="s">
        <v>152</v>
      </c>
      <c r="AQ109" s="6" t="s">
        <v>152</v>
      </c>
      <c r="AR109" s="6" t="s">
        <v>152</v>
      </c>
    </row>
    <row r="110" spans="1:44" x14ac:dyDescent="0.2">
      <c r="A110" s="1" t="str">
        <f ca="1">IFERROR(__xludf.DUMMYFUNCTION("""COMPUTED_VALUE"""),"Ms. Marvel (Kamala Khan)")</f>
        <v>Ms. Marvel (Kamala Khan)</v>
      </c>
      <c r="B110" s="6" t="s">
        <v>152</v>
      </c>
      <c r="C110" s="6" t="s">
        <v>152</v>
      </c>
      <c r="D110" s="6" t="s">
        <v>152</v>
      </c>
      <c r="E110" s="6" t="s">
        <v>152</v>
      </c>
      <c r="F110" s="6" t="s">
        <v>152</v>
      </c>
      <c r="G110" s="6" t="s">
        <v>152</v>
      </c>
      <c r="H110" s="6" t="s">
        <v>152</v>
      </c>
      <c r="I110" s="6" t="s">
        <v>152</v>
      </c>
      <c r="J110" s="6" t="s">
        <v>152</v>
      </c>
      <c r="K110" s="6" t="s">
        <v>152</v>
      </c>
      <c r="L110" s="6" t="s">
        <v>152</v>
      </c>
      <c r="M110" s="6" t="s">
        <v>152</v>
      </c>
      <c r="N110" s="6" t="s">
        <v>152</v>
      </c>
      <c r="O110" s="6" t="s">
        <v>152</v>
      </c>
      <c r="P110" s="6" t="s">
        <v>152</v>
      </c>
      <c r="Q110" s="6" t="s">
        <v>152</v>
      </c>
      <c r="R110" s="6" t="s">
        <v>152</v>
      </c>
      <c r="S110" s="6" t="s">
        <v>152</v>
      </c>
      <c r="T110" s="6" t="s">
        <v>152</v>
      </c>
      <c r="U110" s="6" t="s">
        <v>152</v>
      </c>
      <c r="V110" s="6" t="s">
        <v>152</v>
      </c>
      <c r="W110" s="6" t="s">
        <v>152</v>
      </c>
      <c r="X110" s="6" t="s">
        <v>152</v>
      </c>
      <c r="Y110" s="6" t="s">
        <v>152</v>
      </c>
      <c r="Z110" s="6" t="s">
        <v>152</v>
      </c>
      <c r="AA110" s="6" t="s">
        <v>152</v>
      </c>
      <c r="AB110" s="9" t="s">
        <v>165</v>
      </c>
      <c r="AC110" s="6" t="s">
        <v>152</v>
      </c>
      <c r="AD110" s="6" t="s">
        <v>152</v>
      </c>
      <c r="AE110" s="6" t="s">
        <v>152</v>
      </c>
      <c r="AF110" s="6" t="s">
        <v>152</v>
      </c>
      <c r="AG110" s="6" t="s">
        <v>152</v>
      </c>
      <c r="AH110" s="6" t="s">
        <v>152</v>
      </c>
      <c r="AI110" s="6" t="s">
        <v>152</v>
      </c>
      <c r="AJ110" s="6" t="s">
        <v>152</v>
      </c>
      <c r="AK110" s="6" t="s">
        <v>152</v>
      </c>
      <c r="AL110" s="6" t="s">
        <v>152</v>
      </c>
      <c r="AM110" s="6" t="s">
        <v>152</v>
      </c>
      <c r="AN110" s="6" t="s">
        <v>152</v>
      </c>
      <c r="AO110" s="6" t="s">
        <v>152</v>
      </c>
      <c r="AP110" s="6" t="s">
        <v>152</v>
      </c>
      <c r="AQ110" s="6" t="s">
        <v>152</v>
      </c>
      <c r="AR110" s="6" t="s">
        <v>152</v>
      </c>
    </row>
    <row r="111" spans="1:44" x14ac:dyDescent="0.2">
      <c r="A111" s="1" t="str">
        <f ca="1">IFERROR(__xludf.DUMMYFUNCTION("""COMPUTED_VALUE"""),"Mysterio")</f>
        <v>Mysterio</v>
      </c>
      <c r="B111" s="9" t="s">
        <v>165</v>
      </c>
      <c r="C111" s="6" t="s">
        <v>152</v>
      </c>
      <c r="D111" s="6" t="s">
        <v>152</v>
      </c>
      <c r="E111" s="6" t="s">
        <v>152</v>
      </c>
      <c r="F111" s="6" t="s">
        <v>152</v>
      </c>
      <c r="G111" s="6" t="s">
        <v>152</v>
      </c>
      <c r="H111" s="6" t="s">
        <v>152</v>
      </c>
      <c r="I111" s="6" t="s">
        <v>152</v>
      </c>
      <c r="J111" s="6" t="s">
        <v>152</v>
      </c>
      <c r="K111" s="6" t="s">
        <v>152</v>
      </c>
      <c r="L111" s="6" t="s">
        <v>152</v>
      </c>
      <c r="M111" s="6" t="s">
        <v>152</v>
      </c>
      <c r="N111" s="6" t="s">
        <v>152</v>
      </c>
      <c r="O111" s="6" t="s">
        <v>152</v>
      </c>
      <c r="P111" s="6" t="s">
        <v>152</v>
      </c>
      <c r="Q111" s="6" t="s">
        <v>152</v>
      </c>
      <c r="R111" s="6" t="s">
        <v>152</v>
      </c>
      <c r="S111" s="6" t="s">
        <v>152</v>
      </c>
      <c r="T111" s="6" t="s">
        <v>152</v>
      </c>
      <c r="U111" s="6" t="s">
        <v>152</v>
      </c>
      <c r="V111" s="6" t="s">
        <v>152</v>
      </c>
      <c r="W111" s="6" t="s">
        <v>152</v>
      </c>
      <c r="X111" s="6" t="s">
        <v>152</v>
      </c>
      <c r="Y111" s="6" t="s">
        <v>152</v>
      </c>
      <c r="Z111" s="6" t="s">
        <v>152</v>
      </c>
      <c r="AA111" s="6" t="s">
        <v>152</v>
      </c>
      <c r="AB111" s="6" t="s">
        <v>152</v>
      </c>
      <c r="AC111" s="6" t="s">
        <v>152</v>
      </c>
      <c r="AD111" s="6" t="s">
        <v>152</v>
      </c>
      <c r="AE111" s="6" t="s">
        <v>152</v>
      </c>
      <c r="AF111" s="6" t="s">
        <v>152</v>
      </c>
      <c r="AG111" s="6" t="s">
        <v>152</v>
      </c>
      <c r="AH111" s="6" t="s">
        <v>152</v>
      </c>
      <c r="AI111" s="9" t="s">
        <v>165</v>
      </c>
      <c r="AJ111" s="6" t="s">
        <v>152</v>
      </c>
      <c r="AK111" s="6" t="s">
        <v>152</v>
      </c>
      <c r="AL111" s="6" t="s">
        <v>152</v>
      </c>
      <c r="AM111" s="6" t="s">
        <v>152</v>
      </c>
      <c r="AN111" s="6" t="s">
        <v>152</v>
      </c>
      <c r="AO111" s="6" t="s">
        <v>152</v>
      </c>
      <c r="AP111" s="6" t="s">
        <v>152</v>
      </c>
      <c r="AQ111" s="6" t="s">
        <v>152</v>
      </c>
      <c r="AR111" s="6" t="s">
        <v>152</v>
      </c>
    </row>
    <row r="112" spans="1:44" x14ac:dyDescent="0.2">
      <c r="A112" s="1" t="str">
        <f ca="1">IFERROR(__xludf.DUMMYFUNCTION("""COMPUTED_VALUE"""),"Nebula")</f>
        <v>Nebula</v>
      </c>
      <c r="B112" s="6" t="s">
        <v>152</v>
      </c>
      <c r="C112" s="6" t="s">
        <v>152</v>
      </c>
      <c r="D112" s="6" t="s">
        <v>152</v>
      </c>
      <c r="E112" s="6" t="s">
        <v>152</v>
      </c>
      <c r="F112" s="9" t="s">
        <v>165</v>
      </c>
      <c r="G112" s="6" t="s">
        <v>152</v>
      </c>
      <c r="H112" s="6" t="s">
        <v>152</v>
      </c>
      <c r="I112" s="6" t="s">
        <v>152</v>
      </c>
      <c r="J112" s="6" t="s">
        <v>152</v>
      </c>
      <c r="K112" s="6" t="s">
        <v>152</v>
      </c>
      <c r="L112" s="6" t="s">
        <v>152</v>
      </c>
      <c r="M112" s="6" t="s">
        <v>152</v>
      </c>
      <c r="N112" s="6" t="s">
        <v>152</v>
      </c>
      <c r="O112" s="6" t="s">
        <v>152</v>
      </c>
      <c r="P112" s="6" t="s">
        <v>152</v>
      </c>
      <c r="Q112" s="6" t="s">
        <v>152</v>
      </c>
      <c r="R112" s="6" t="s">
        <v>152</v>
      </c>
      <c r="S112" s="6" t="s">
        <v>152</v>
      </c>
      <c r="T112" s="6" t="s">
        <v>152</v>
      </c>
      <c r="U112" s="6" t="s">
        <v>152</v>
      </c>
      <c r="V112" s="6" t="s">
        <v>152</v>
      </c>
      <c r="W112" s="6" t="s">
        <v>152</v>
      </c>
      <c r="X112" s="6" t="s">
        <v>152</v>
      </c>
      <c r="Y112" s="6" t="s">
        <v>152</v>
      </c>
      <c r="Z112" s="6" t="s">
        <v>152</v>
      </c>
      <c r="AA112" s="6" t="s">
        <v>152</v>
      </c>
      <c r="AB112" s="9" t="s">
        <v>165</v>
      </c>
      <c r="AC112" s="6" t="s">
        <v>152</v>
      </c>
      <c r="AD112" s="6" t="s">
        <v>152</v>
      </c>
      <c r="AE112" s="6" t="s">
        <v>152</v>
      </c>
      <c r="AF112" s="6" t="s">
        <v>152</v>
      </c>
      <c r="AG112" s="6" t="s">
        <v>152</v>
      </c>
      <c r="AH112" s="6" t="s">
        <v>152</v>
      </c>
      <c r="AI112" s="6" t="s">
        <v>152</v>
      </c>
      <c r="AJ112" s="6" t="s">
        <v>152</v>
      </c>
      <c r="AK112" s="9" t="s">
        <v>165</v>
      </c>
      <c r="AL112" s="6" t="s">
        <v>152</v>
      </c>
      <c r="AM112" s="6" t="s">
        <v>152</v>
      </c>
      <c r="AN112" s="6" t="s">
        <v>152</v>
      </c>
      <c r="AO112" s="6" t="s">
        <v>152</v>
      </c>
      <c r="AP112" s="6" t="s">
        <v>152</v>
      </c>
      <c r="AQ112" s="6" t="s">
        <v>152</v>
      </c>
      <c r="AR112" s="6" t="s">
        <v>152</v>
      </c>
    </row>
    <row r="113" spans="1:44" x14ac:dyDescent="0.2">
      <c r="A113" s="1" t="str">
        <f ca="1">IFERROR(__xludf.DUMMYFUNCTION("""COMPUTED_VALUE"""),"Nick Fury")</f>
        <v>Nick Fury</v>
      </c>
      <c r="B113" s="6" t="s">
        <v>152</v>
      </c>
      <c r="C113" s="6" t="s">
        <v>152</v>
      </c>
      <c r="D113" s="6" t="s">
        <v>152</v>
      </c>
      <c r="E113" s="6" t="s">
        <v>152</v>
      </c>
      <c r="F113" s="6" t="s">
        <v>152</v>
      </c>
      <c r="G113" s="6" t="s">
        <v>152</v>
      </c>
      <c r="H113" s="6" t="s">
        <v>152</v>
      </c>
      <c r="I113" s="6" t="s">
        <v>152</v>
      </c>
      <c r="J113" s="6" t="s">
        <v>152</v>
      </c>
      <c r="K113" s="6" t="s">
        <v>152</v>
      </c>
      <c r="L113" s="6" t="s">
        <v>152</v>
      </c>
      <c r="M113" s="6" t="s">
        <v>152</v>
      </c>
      <c r="N113" s="6" t="s">
        <v>152</v>
      </c>
      <c r="O113" s="6" t="s">
        <v>152</v>
      </c>
      <c r="P113" s="6" t="s">
        <v>152</v>
      </c>
      <c r="Q113" s="6" t="s">
        <v>152</v>
      </c>
      <c r="R113" s="6" t="s">
        <v>152</v>
      </c>
      <c r="S113" s="6" t="s">
        <v>152</v>
      </c>
      <c r="T113" s="6" t="s">
        <v>152</v>
      </c>
      <c r="U113" s="6" t="s">
        <v>152</v>
      </c>
      <c r="V113" s="6" t="s">
        <v>152</v>
      </c>
      <c r="W113" s="6" t="s">
        <v>152</v>
      </c>
      <c r="X113" s="6" t="s">
        <v>152</v>
      </c>
      <c r="Y113" s="6" t="s">
        <v>152</v>
      </c>
      <c r="Z113" s="6" t="s">
        <v>152</v>
      </c>
      <c r="AA113" s="6" t="s">
        <v>152</v>
      </c>
      <c r="AB113" s="9" t="s">
        <v>165</v>
      </c>
      <c r="AC113" s="6" t="s">
        <v>152</v>
      </c>
      <c r="AD113" s="6" t="s">
        <v>152</v>
      </c>
      <c r="AE113" s="6" t="s">
        <v>152</v>
      </c>
      <c r="AF113" s="6" t="s">
        <v>152</v>
      </c>
      <c r="AG113" s="6" t="s">
        <v>152</v>
      </c>
      <c r="AH113" s="6" t="s">
        <v>152</v>
      </c>
      <c r="AI113" s="6" t="s">
        <v>152</v>
      </c>
      <c r="AJ113" s="6" t="s">
        <v>152</v>
      </c>
      <c r="AK113" s="6" t="s">
        <v>152</v>
      </c>
      <c r="AL113" s="6" t="s">
        <v>152</v>
      </c>
      <c r="AM113" s="6" t="s">
        <v>152</v>
      </c>
      <c r="AN113" s="6" t="s">
        <v>152</v>
      </c>
      <c r="AO113" s="6" t="s">
        <v>152</v>
      </c>
      <c r="AP113" s="9" t="s">
        <v>165</v>
      </c>
      <c r="AQ113" s="6" t="s">
        <v>152</v>
      </c>
      <c r="AR113" s="6" t="s">
        <v>152</v>
      </c>
    </row>
    <row r="114" spans="1:44" x14ac:dyDescent="0.2">
      <c r="A114" s="1" t="str">
        <f ca="1">IFERROR(__xludf.DUMMYFUNCTION("""COMPUTED_VALUE"""),"Nico Minoru")</f>
        <v>Nico Minoru</v>
      </c>
      <c r="B114" s="6" t="s">
        <v>152</v>
      </c>
      <c r="C114" s="6" t="s">
        <v>152</v>
      </c>
      <c r="D114" s="6" t="s">
        <v>152</v>
      </c>
      <c r="E114" s="6" t="s">
        <v>152</v>
      </c>
      <c r="F114" s="6" t="s">
        <v>152</v>
      </c>
      <c r="G114" s="9" t="s">
        <v>165</v>
      </c>
      <c r="H114" s="6" t="s">
        <v>152</v>
      </c>
      <c r="I114" s="6" t="s">
        <v>152</v>
      </c>
      <c r="J114" s="6" t="s">
        <v>152</v>
      </c>
      <c r="K114" s="6" t="s">
        <v>152</v>
      </c>
      <c r="L114" s="6" t="s">
        <v>152</v>
      </c>
      <c r="M114" s="6" t="s">
        <v>152</v>
      </c>
      <c r="N114" s="6" t="s">
        <v>152</v>
      </c>
      <c r="O114" s="6" t="s">
        <v>152</v>
      </c>
      <c r="P114" s="6" t="s">
        <v>152</v>
      </c>
      <c r="Q114" s="6" t="s">
        <v>152</v>
      </c>
      <c r="R114" s="6" t="s">
        <v>152</v>
      </c>
      <c r="S114" s="6" t="s">
        <v>152</v>
      </c>
      <c r="T114" s="6" t="s">
        <v>152</v>
      </c>
      <c r="U114" s="6" t="s">
        <v>152</v>
      </c>
      <c r="V114" s="6" t="s">
        <v>152</v>
      </c>
      <c r="W114" s="6" t="s">
        <v>152</v>
      </c>
      <c r="X114" s="6" t="s">
        <v>152</v>
      </c>
      <c r="Y114" s="6" t="s">
        <v>152</v>
      </c>
      <c r="Z114" s="6" t="s">
        <v>152</v>
      </c>
      <c r="AA114" s="6" t="s">
        <v>152</v>
      </c>
      <c r="AB114" s="9" t="s">
        <v>165</v>
      </c>
      <c r="AC114" s="6" t="s">
        <v>152</v>
      </c>
      <c r="AD114" s="6" t="s">
        <v>152</v>
      </c>
      <c r="AE114" s="6" t="s">
        <v>152</v>
      </c>
      <c r="AF114" s="6" t="s">
        <v>152</v>
      </c>
      <c r="AG114" s="6" t="s">
        <v>152</v>
      </c>
      <c r="AH114" s="6" t="s">
        <v>152</v>
      </c>
      <c r="AI114" s="6" t="s">
        <v>152</v>
      </c>
      <c r="AJ114" s="9" t="s">
        <v>165</v>
      </c>
      <c r="AK114" s="6" t="s">
        <v>152</v>
      </c>
      <c r="AL114" s="6" t="s">
        <v>152</v>
      </c>
      <c r="AM114" s="6" t="s">
        <v>152</v>
      </c>
      <c r="AN114" s="6" t="s">
        <v>152</v>
      </c>
      <c r="AO114" s="6" t="s">
        <v>152</v>
      </c>
      <c r="AP114" s="6" t="s">
        <v>152</v>
      </c>
      <c r="AQ114" s="6" t="s">
        <v>152</v>
      </c>
      <c r="AR114" s="6" t="s">
        <v>152</v>
      </c>
    </row>
    <row r="115" spans="1:44" x14ac:dyDescent="0.2">
      <c r="A115" s="1" t="str">
        <f ca="1">IFERROR(__xludf.DUMMYFUNCTION("""COMPUTED_VALUE"""),"Night Thrasher")</f>
        <v>Night Thrasher</v>
      </c>
      <c r="B115" s="6" t="s">
        <v>152</v>
      </c>
      <c r="C115" s="6" t="s">
        <v>152</v>
      </c>
      <c r="D115" s="6" t="s">
        <v>152</v>
      </c>
      <c r="E115" s="6" t="s">
        <v>152</v>
      </c>
      <c r="F115" s="6" t="s">
        <v>152</v>
      </c>
      <c r="G115" s="6" t="s">
        <v>152</v>
      </c>
      <c r="H115" s="6" t="s">
        <v>152</v>
      </c>
      <c r="I115" s="6" t="s">
        <v>152</v>
      </c>
      <c r="J115" s="6" t="s">
        <v>152</v>
      </c>
      <c r="K115" s="6" t="s">
        <v>152</v>
      </c>
      <c r="L115" s="6" t="s">
        <v>152</v>
      </c>
      <c r="M115" s="6" t="s">
        <v>152</v>
      </c>
      <c r="N115" s="6" t="s">
        <v>152</v>
      </c>
      <c r="O115" s="6" t="s">
        <v>152</v>
      </c>
      <c r="P115" s="6" t="s">
        <v>152</v>
      </c>
      <c r="Q115" s="6" t="s">
        <v>152</v>
      </c>
      <c r="R115" s="6" t="s">
        <v>152</v>
      </c>
      <c r="S115" s="6" t="s">
        <v>152</v>
      </c>
      <c r="T115" s="9" t="s">
        <v>165</v>
      </c>
      <c r="U115" s="6" t="s">
        <v>152</v>
      </c>
      <c r="V115" s="6" t="s">
        <v>152</v>
      </c>
      <c r="W115" s="6" t="s">
        <v>152</v>
      </c>
      <c r="X115" s="6" t="s">
        <v>152</v>
      </c>
      <c r="Y115" s="6" t="s">
        <v>152</v>
      </c>
      <c r="Z115" s="6" t="s">
        <v>152</v>
      </c>
      <c r="AA115" s="6" t="s">
        <v>152</v>
      </c>
      <c r="AB115" s="6" t="s">
        <v>152</v>
      </c>
      <c r="AC115" s="6" t="s">
        <v>152</v>
      </c>
      <c r="AD115" s="6" t="s">
        <v>152</v>
      </c>
      <c r="AE115" s="6" t="s">
        <v>152</v>
      </c>
      <c r="AF115" s="6" t="s">
        <v>152</v>
      </c>
      <c r="AG115" s="6" t="s">
        <v>152</v>
      </c>
      <c r="AH115" s="6" t="s">
        <v>152</v>
      </c>
      <c r="AI115" s="6" t="s">
        <v>152</v>
      </c>
      <c r="AJ115" s="6" t="s">
        <v>152</v>
      </c>
      <c r="AK115" s="6" t="s">
        <v>152</v>
      </c>
      <c r="AL115" s="6" t="s">
        <v>152</v>
      </c>
      <c r="AM115" s="6" t="s">
        <v>152</v>
      </c>
      <c r="AN115" s="6" t="s">
        <v>152</v>
      </c>
      <c r="AO115" s="6" t="s">
        <v>152</v>
      </c>
      <c r="AP115" s="6" t="s">
        <v>152</v>
      </c>
      <c r="AQ115" s="6" t="s">
        <v>152</v>
      </c>
      <c r="AR115" s="6" t="s">
        <v>152</v>
      </c>
    </row>
    <row r="116" spans="1:44" x14ac:dyDescent="0.2">
      <c r="A116" s="1" t="str">
        <f ca="1">IFERROR(__xludf.DUMMYFUNCTION("""COMPUTED_VALUE"""),"Nimrod")</f>
        <v>Nimrod</v>
      </c>
      <c r="B116" s="9" t="s">
        <v>165</v>
      </c>
      <c r="C116" s="6" t="s">
        <v>152</v>
      </c>
      <c r="D116" s="6" t="s">
        <v>152</v>
      </c>
      <c r="E116" s="6" t="s">
        <v>152</v>
      </c>
      <c r="F116" s="9" t="s">
        <v>165</v>
      </c>
      <c r="G116" s="6" t="s">
        <v>152</v>
      </c>
      <c r="H116" s="6" t="s">
        <v>152</v>
      </c>
      <c r="I116" s="6" t="s">
        <v>152</v>
      </c>
      <c r="J116" s="6" t="s">
        <v>152</v>
      </c>
      <c r="K116" s="6" t="s">
        <v>152</v>
      </c>
      <c r="L116" s="6" t="s">
        <v>152</v>
      </c>
      <c r="M116" s="6" t="s">
        <v>152</v>
      </c>
      <c r="N116" s="6" t="s">
        <v>152</v>
      </c>
      <c r="O116" s="6" t="s">
        <v>152</v>
      </c>
      <c r="P116" s="6" t="s">
        <v>152</v>
      </c>
      <c r="Q116" s="6" t="s">
        <v>152</v>
      </c>
      <c r="R116" s="6" t="s">
        <v>152</v>
      </c>
      <c r="S116" s="6" t="s">
        <v>152</v>
      </c>
      <c r="T116" s="6" t="s">
        <v>152</v>
      </c>
      <c r="U116" s="6" t="s">
        <v>152</v>
      </c>
      <c r="V116" s="6" t="s">
        <v>152</v>
      </c>
      <c r="W116" s="6" t="s">
        <v>152</v>
      </c>
      <c r="X116" s="6" t="s">
        <v>152</v>
      </c>
      <c r="Y116" s="6" t="s">
        <v>152</v>
      </c>
      <c r="Z116" s="6" t="s">
        <v>152</v>
      </c>
      <c r="AA116" s="6" t="s">
        <v>152</v>
      </c>
      <c r="AB116" s="9" t="s">
        <v>165</v>
      </c>
      <c r="AC116" s="6" t="s">
        <v>152</v>
      </c>
      <c r="AD116" s="6" t="s">
        <v>152</v>
      </c>
      <c r="AE116" s="6" t="s">
        <v>152</v>
      </c>
      <c r="AF116" s="6" t="s">
        <v>152</v>
      </c>
      <c r="AG116" s="6" t="s">
        <v>152</v>
      </c>
      <c r="AH116" s="6" t="s">
        <v>152</v>
      </c>
      <c r="AI116" s="6" t="s">
        <v>152</v>
      </c>
      <c r="AJ116" s="6" t="s">
        <v>152</v>
      </c>
      <c r="AK116" s="6" t="s">
        <v>152</v>
      </c>
      <c r="AL116" s="6" t="s">
        <v>152</v>
      </c>
      <c r="AM116" s="6" t="s">
        <v>152</v>
      </c>
      <c r="AN116" s="6" t="s">
        <v>152</v>
      </c>
      <c r="AO116" s="6" t="s">
        <v>152</v>
      </c>
      <c r="AP116" s="6" t="s">
        <v>152</v>
      </c>
      <c r="AQ116" s="6" t="s">
        <v>152</v>
      </c>
      <c r="AR116" s="6" t="s">
        <v>152</v>
      </c>
    </row>
    <row r="117" spans="1:44" x14ac:dyDescent="0.2">
      <c r="A117" s="1" t="str">
        <f ca="1">IFERROR(__xludf.DUMMYFUNCTION("""COMPUTED_VALUE"""),"Odin")</f>
        <v>Odin</v>
      </c>
      <c r="B117" s="6" t="s">
        <v>152</v>
      </c>
      <c r="C117" s="6" t="s">
        <v>152</v>
      </c>
      <c r="D117" s="6" t="s">
        <v>152</v>
      </c>
      <c r="E117" s="6" t="s">
        <v>152</v>
      </c>
      <c r="F117" s="6" t="s">
        <v>152</v>
      </c>
      <c r="G117" s="6" t="s">
        <v>152</v>
      </c>
      <c r="H117" s="6" t="s">
        <v>152</v>
      </c>
      <c r="I117" s="6" t="s">
        <v>152</v>
      </c>
      <c r="J117" s="6" t="s">
        <v>152</v>
      </c>
      <c r="K117" s="6" t="s">
        <v>152</v>
      </c>
      <c r="L117" s="6" t="s">
        <v>152</v>
      </c>
      <c r="M117" s="6" t="s">
        <v>152</v>
      </c>
      <c r="N117" s="6" t="s">
        <v>152</v>
      </c>
      <c r="O117" s="6" t="s">
        <v>152</v>
      </c>
      <c r="P117" s="6" t="s">
        <v>152</v>
      </c>
      <c r="Q117" s="6" t="s">
        <v>152</v>
      </c>
      <c r="R117" s="6" t="s">
        <v>152</v>
      </c>
      <c r="S117" s="6" t="s">
        <v>152</v>
      </c>
      <c r="T117" s="6" t="s">
        <v>152</v>
      </c>
      <c r="U117" s="6" t="s">
        <v>152</v>
      </c>
      <c r="V117" s="6" t="s">
        <v>152</v>
      </c>
      <c r="W117" s="6" t="s">
        <v>152</v>
      </c>
      <c r="X117" s="6" t="s">
        <v>152</v>
      </c>
      <c r="Y117" s="6" t="s">
        <v>152</v>
      </c>
      <c r="Z117" s="9" t="s">
        <v>165</v>
      </c>
      <c r="AA117" s="6" t="s">
        <v>152</v>
      </c>
      <c r="AB117" s="6" t="s">
        <v>152</v>
      </c>
      <c r="AC117" s="6" t="s">
        <v>152</v>
      </c>
      <c r="AD117" s="6" t="s">
        <v>152</v>
      </c>
      <c r="AE117" s="6" t="s">
        <v>152</v>
      </c>
      <c r="AF117" s="6" t="s">
        <v>152</v>
      </c>
      <c r="AG117" s="6" t="s">
        <v>152</v>
      </c>
      <c r="AH117" s="6" t="s">
        <v>152</v>
      </c>
      <c r="AI117" s="6" t="s">
        <v>152</v>
      </c>
      <c r="AJ117" s="6" t="s">
        <v>152</v>
      </c>
      <c r="AK117" s="6" t="s">
        <v>152</v>
      </c>
      <c r="AL117" s="6" t="s">
        <v>152</v>
      </c>
      <c r="AM117" s="6" t="s">
        <v>152</v>
      </c>
      <c r="AN117" s="6" t="s">
        <v>152</v>
      </c>
      <c r="AO117" s="6" t="s">
        <v>152</v>
      </c>
      <c r="AP117" s="6" t="s">
        <v>152</v>
      </c>
      <c r="AQ117" s="6" t="s">
        <v>152</v>
      </c>
      <c r="AR117" s="6" t="s">
        <v>152</v>
      </c>
    </row>
    <row r="118" spans="1:44" x14ac:dyDescent="0.2">
      <c r="A118" s="1" t="str">
        <f ca="1">IFERROR(__xludf.DUMMYFUNCTION("""COMPUTED_VALUE"""),"Old Man Logan")</f>
        <v>Old Man Logan</v>
      </c>
      <c r="B118" s="9" t="s">
        <v>165</v>
      </c>
      <c r="C118" s="6" t="s">
        <v>152</v>
      </c>
      <c r="D118" s="6" t="s">
        <v>152</v>
      </c>
      <c r="E118" s="6" t="s">
        <v>152</v>
      </c>
      <c r="F118" s="6" t="s">
        <v>152</v>
      </c>
      <c r="G118" s="6" t="s">
        <v>152</v>
      </c>
      <c r="H118" s="6" t="s">
        <v>152</v>
      </c>
      <c r="I118" s="6" t="s">
        <v>152</v>
      </c>
      <c r="J118" s="6" t="s">
        <v>152</v>
      </c>
      <c r="K118" s="6" t="s">
        <v>152</v>
      </c>
      <c r="L118" s="6" t="s">
        <v>152</v>
      </c>
      <c r="M118" s="6" t="s">
        <v>152</v>
      </c>
      <c r="N118" s="6" t="s">
        <v>152</v>
      </c>
      <c r="O118" s="6" t="s">
        <v>152</v>
      </c>
      <c r="P118" s="6" t="s">
        <v>152</v>
      </c>
      <c r="Q118" s="6" t="s">
        <v>152</v>
      </c>
      <c r="R118" s="6" t="s">
        <v>152</v>
      </c>
      <c r="S118" s="6" t="s">
        <v>152</v>
      </c>
      <c r="T118" s="6" t="s">
        <v>152</v>
      </c>
      <c r="U118" s="6" t="s">
        <v>152</v>
      </c>
      <c r="V118" s="6" t="s">
        <v>152</v>
      </c>
      <c r="W118" s="6" t="s">
        <v>152</v>
      </c>
      <c r="X118" s="6" t="s">
        <v>152</v>
      </c>
      <c r="Y118" s="6" t="s">
        <v>152</v>
      </c>
      <c r="Z118" s="6" t="s">
        <v>152</v>
      </c>
      <c r="AA118" s="6" t="s">
        <v>152</v>
      </c>
      <c r="AB118" s="6" t="s">
        <v>152</v>
      </c>
      <c r="AC118" s="6" t="s">
        <v>152</v>
      </c>
      <c r="AD118" s="6" t="s">
        <v>152</v>
      </c>
      <c r="AE118" s="6" t="s">
        <v>152</v>
      </c>
      <c r="AF118" s="6" t="s">
        <v>152</v>
      </c>
      <c r="AG118" s="6" t="s">
        <v>152</v>
      </c>
      <c r="AH118" s="6" t="s">
        <v>152</v>
      </c>
      <c r="AI118" s="6" t="s">
        <v>152</v>
      </c>
      <c r="AJ118" s="6" t="s">
        <v>152</v>
      </c>
      <c r="AK118" s="6" t="s">
        <v>152</v>
      </c>
      <c r="AL118" s="6" t="s">
        <v>152</v>
      </c>
      <c r="AM118" s="6" t="s">
        <v>152</v>
      </c>
      <c r="AN118" s="6" t="s">
        <v>152</v>
      </c>
      <c r="AO118" s="6" t="s">
        <v>152</v>
      </c>
      <c r="AP118" s="6" t="s">
        <v>152</v>
      </c>
      <c r="AQ118" s="6" t="s">
        <v>152</v>
      </c>
      <c r="AR118" s="6" t="s">
        <v>152</v>
      </c>
    </row>
    <row r="119" spans="1:44" x14ac:dyDescent="0.2">
      <c r="A119" s="1" t="str">
        <f ca="1">IFERROR(__xludf.DUMMYFUNCTION("""COMPUTED_VALUE"""),"Omega Red")</f>
        <v>Omega Red</v>
      </c>
      <c r="B119" s="6" t="s">
        <v>152</v>
      </c>
      <c r="C119" s="6" t="s">
        <v>152</v>
      </c>
      <c r="D119" s="6" t="s">
        <v>152</v>
      </c>
      <c r="E119" s="6" t="s">
        <v>152</v>
      </c>
      <c r="F119" s="6" t="s">
        <v>152</v>
      </c>
      <c r="G119" s="6" t="s">
        <v>152</v>
      </c>
      <c r="H119" s="6" t="s">
        <v>152</v>
      </c>
      <c r="I119" s="6" t="s">
        <v>152</v>
      </c>
      <c r="J119" s="6" t="s">
        <v>152</v>
      </c>
      <c r="K119" s="6" t="s">
        <v>152</v>
      </c>
      <c r="L119" s="6" t="s">
        <v>152</v>
      </c>
      <c r="M119" s="6" t="s">
        <v>152</v>
      </c>
      <c r="N119" s="6" t="s">
        <v>152</v>
      </c>
      <c r="O119" s="6" t="s">
        <v>152</v>
      </c>
      <c r="P119" s="6" t="s">
        <v>152</v>
      </c>
      <c r="Q119" s="6" t="s">
        <v>152</v>
      </c>
      <c r="R119" s="6" t="s">
        <v>152</v>
      </c>
      <c r="S119" s="6" t="s">
        <v>152</v>
      </c>
      <c r="T119" s="6" t="s">
        <v>152</v>
      </c>
      <c r="U119" s="6" t="s">
        <v>152</v>
      </c>
      <c r="V119" s="6" t="s">
        <v>152</v>
      </c>
      <c r="W119" s="6" t="s">
        <v>152</v>
      </c>
      <c r="X119" s="6" t="s">
        <v>152</v>
      </c>
      <c r="Y119" s="6" t="s">
        <v>152</v>
      </c>
      <c r="Z119" s="6" t="s">
        <v>152</v>
      </c>
      <c r="AA119" s="6" t="s">
        <v>152</v>
      </c>
      <c r="AB119" s="9" t="s">
        <v>165</v>
      </c>
      <c r="AC119" s="6" t="s">
        <v>152</v>
      </c>
      <c r="AD119" s="6" t="s">
        <v>152</v>
      </c>
      <c r="AE119" s="6" t="s">
        <v>152</v>
      </c>
      <c r="AF119" s="6" t="s">
        <v>152</v>
      </c>
      <c r="AG119" s="6" t="s">
        <v>152</v>
      </c>
      <c r="AH119" s="6" t="s">
        <v>152</v>
      </c>
      <c r="AI119" s="6" t="s">
        <v>152</v>
      </c>
      <c r="AJ119" s="6" t="s">
        <v>152</v>
      </c>
      <c r="AK119" s="6" t="s">
        <v>152</v>
      </c>
      <c r="AL119" s="6" t="s">
        <v>152</v>
      </c>
      <c r="AM119" s="6" t="s">
        <v>152</v>
      </c>
      <c r="AN119" s="6" t="s">
        <v>152</v>
      </c>
      <c r="AO119" s="6" t="s">
        <v>152</v>
      </c>
      <c r="AP119" s="6" t="s">
        <v>152</v>
      </c>
      <c r="AQ119" s="6" t="s">
        <v>152</v>
      </c>
      <c r="AR119" s="6" t="s">
        <v>152</v>
      </c>
    </row>
    <row r="120" spans="1:44" x14ac:dyDescent="0.2">
      <c r="A120" s="1" t="str">
        <f ca="1">IFERROR(__xludf.DUMMYFUNCTION("""COMPUTED_VALUE"""),"Omega Sentinel")</f>
        <v>Omega Sentinel</v>
      </c>
      <c r="B120" s="6" t="s">
        <v>152</v>
      </c>
      <c r="C120" s="6" t="s">
        <v>152</v>
      </c>
      <c r="D120" s="6" t="s">
        <v>152</v>
      </c>
      <c r="E120" s="6" t="s">
        <v>152</v>
      </c>
      <c r="F120" s="6" t="s">
        <v>152</v>
      </c>
      <c r="G120" s="6" t="s">
        <v>152</v>
      </c>
      <c r="H120" s="6" t="s">
        <v>152</v>
      </c>
      <c r="I120" s="6" t="s">
        <v>152</v>
      </c>
      <c r="J120" s="6" t="s">
        <v>152</v>
      </c>
      <c r="K120" s="6" t="s">
        <v>152</v>
      </c>
      <c r="L120" s="6" t="s">
        <v>152</v>
      </c>
      <c r="M120" s="6" t="s">
        <v>152</v>
      </c>
      <c r="N120" s="6" t="s">
        <v>152</v>
      </c>
      <c r="O120" s="6" t="s">
        <v>152</v>
      </c>
      <c r="P120" s="9" t="s">
        <v>165</v>
      </c>
      <c r="Q120" s="6" t="s">
        <v>152</v>
      </c>
      <c r="R120" s="6" t="s">
        <v>152</v>
      </c>
      <c r="S120" s="6" t="s">
        <v>152</v>
      </c>
      <c r="T120" s="6" t="s">
        <v>152</v>
      </c>
      <c r="U120" s="6" t="s">
        <v>152</v>
      </c>
      <c r="V120" s="6" t="s">
        <v>152</v>
      </c>
      <c r="W120" s="6" t="s">
        <v>152</v>
      </c>
      <c r="X120" s="6" t="s">
        <v>152</v>
      </c>
      <c r="Y120" s="6" t="s">
        <v>152</v>
      </c>
      <c r="Z120" s="9" t="s">
        <v>165</v>
      </c>
      <c r="AA120" s="6" t="s">
        <v>152</v>
      </c>
      <c r="AB120" s="6" t="s">
        <v>152</v>
      </c>
      <c r="AC120" s="6" t="s">
        <v>152</v>
      </c>
      <c r="AD120" s="6" t="s">
        <v>152</v>
      </c>
      <c r="AE120" s="6" t="s">
        <v>152</v>
      </c>
      <c r="AF120" s="6" t="s">
        <v>152</v>
      </c>
      <c r="AG120" s="6" t="s">
        <v>152</v>
      </c>
      <c r="AH120" s="6" t="s">
        <v>152</v>
      </c>
      <c r="AI120" s="6" t="s">
        <v>152</v>
      </c>
      <c r="AJ120" s="6" t="s">
        <v>152</v>
      </c>
      <c r="AK120" s="6" t="s">
        <v>152</v>
      </c>
      <c r="AL120" s="6" t="s">
        <v>152</v>
      </c>
      <c r="AM120" s="6" t="s">
        <v>152</v>
      </c>
      <c r="AN120" s="6" t="s">
        <v>152</v>
      </c>
      <c r="AO120" s="9" t="s">
        <v>165</v>
      </c>
      <c r="AP120" s="6" t="s">
        <v>152</v>
      </c>
      <c r="AQ120" s="6" t="s">
        <v>152</v>
      </c>
      <c r="AR120" s="6" t="s">
        <v>152</v>
      </c>
    </row>
    <row r="121" spans="1:44" x14ac:dyDescent="0.2">
      <c r="A121" s="1" t="str">
        <f ca="1">IFERROR(__xludf.DUMMYFUNCTION("""COMPUTED_VALUE"""),"Peni Parker")</f>
        <v>Peni Parker</v>
      </c>
      <c r="B121" s="6" t="s">
        <v>152</v>
      </c>
      <c r="C121" s="6" t="s">
        <v>152</v>
      </c>
      <c r="D121" s="6" t="s">
        <v>152</v>
      </c>
      <c r="E121" s="6" t="s">
        <v>152</v>
      </c>
      <c r="F121" s="6" t="s">
        <v>152</v>
      </c>
      <c r="G121" s="6" t="s">
        <v>152</v>
      </c>
      <c r="H121" s="6" t="s">
        <v>152</v>
      </c>
      <c r="I121" s="6" t="s">
        <v>152</v>
      </c>
      <c r="J121" s="6" t="s">
        <v>152</v>
      </c>
      <c r="K121" s="6" t="s">
        <v>152</v>
      </c>
      <c r="L121" s="6" t="s">
        <v>152</v>
      </c>
      <c r="M121" s="6" t="s">
        <v>152</v>
      </c>
      <c r="N121" s="6" t="s">
        <v>152</v>
      </c>
      <c r="O121" s="6" t="s">
        <v>152</v>
      </c>
      <c r="P121" s="6" t="s">
        <v>152</v>
      </c>
      <c r="Q121" s="6" t="s">
        <v>152</v>
      </c>
      <c r="R121" s="6" t="s">
        <v>152</v>
      </c>
      <c r="S121" s="6" t="s">
        <v>152</v>
      </c>
      <c r="T121" s="9" t="s">
        <v>165</v>
      </c>
      <c r="U121" s="6" t="s">
        <v>152</v>
      </c>
      <c r="V121" s="6" t="s">
        <v>152</v>
      </c>
      <c r="W121" s="6" t="s">
        <v>152</v>
      </c>
      <c r="X121" s="6" t="s">
        <v>152</v>
      </c>
      <c r="Y121" s="6" t="s">
        <v>152</v>
      </c>
      <c r="Z121" s="6" t="s">
        <v>152</v>
      </c>
      <c r="AA121" s="6" t="s">
        <v>152</v>
      </c>
      <c r="AB121" s="9" t="s">
        <v>165</v>
      </c>
      <c r="AC121" s="6" t="s">
        <v>152</v>
      </c>
      <c r="AD121" s="6" t="s">
        <v>152</v>
      </c>
      <c r="AE121" s="6" t="s">
        <v>152</v>
      </c>
      <c r="AF121" s="6" t="s">
        <v>152</v>
      </c>
      <c r="AG121" s="6" t="s">
        <v>152</v>
      </c>
      <c r="AH121" s="6" t="s">
        <v>152</v>
      </c>
      <c r="AI121" s="6" t="s">
        <v>152</v>
      </c>
      <c r="AJ121" s="6" t="s">
        <v>152</v>
      </c>
      <c r="AK121" s="6" t="s">
        <v>152</v>
      </c>
      <c r="AL121" s="6" t="s">
        <v>152</v>
      </c>
      <c r="AM121" s="6" t="s">
        <v>152</v>
      </c>
      <c r="AN121" s="6" t="s">
        <v>152</v>
      </c>
      <c r="AO121" s="6" t="s">
        <v>152</v>
      </c>
      <c r="AP121" s="9" t="s">
        <v>165</v>
      </c>
      <c r="AQ121" s="6" t="s">
        <v>152</v>
      </c>
      <c r="AR121" s="6" t="s">
        <v>152</v>
      </c>
    </row>
    <row r="122" spans="1:44" x14ac:dyDescent="0.2">
      <c r="A122" s="1" t="str">
        <f ca="1">IFERROR(__xludf.DUMMYFUNCTION("""COMPUTED_VALUE"""),"Phoenix")</f>
        <v>Phoenix</v>
      </c>
      <c r="B122" s="6" t="s">
        <v>152</v>
      </c>
      <c r="C122" s="6" t="s">
        <v>152</v>
      </c>
      <c r="D122" s="6" t="s">
        <v>152</v>
      </c>
      <c r="E122" s="6" t="s">
        <v>152</v>
      </c>
      <c r="F122" s="6" t="s">
        <v>152</v>
      </c>
      <c r="G122" s="6" t="s">
        <v>152</v>
      </c>
      <c r="H122" s="6" t="s">
        <v>152</v>
      </c>
      <c r="I122" s="6" t="s">
        <v>152</v>
      </c>
      <c r="J122" s="6" t="s">
        <v>152</v>
      </c>
      <c r="K122" s="6" t="s">
        <v>152</v>
      </c>
      <c r="L122" s="6" t="s">
        <v>152</v>
      </c>
      <c r="M122" s="6" t="s">
        <v>152</v>
      </c>
      <c r="N122" s="6" t="s">
        <v>152</v>
      </c>
      <c r="O122" s="6" t="s">
        <v>152</v>
      </c>
      <c r="P122" s="6" t="s">
        <v>152</v>
      </c>
      <c r="Q122" s="6" t="s">
        <v>152</v>
      </c>
      <c r="R122" s="6" t="s">
        <v>152</v>
      </c>
      <c r="S122" s="9" t="s">
        <v>165</v>
      </c>
      <c r="T122" s="9" t="s">
        <v>165</v>
      </c>
      <c r="U122" s="6" t="s">
        <v>152</v>
      </c>
      <c r="V122" s="6" t="s">
        <v>152</v>
      </c>
      <c r="W122" s="6" t="s">
        <v>152</v>
      </c>
      <c r="X122" s="6" t="s">
        <v>152</v>
      </c>
      <c r="Y122" s="6" t="s">
        <v>152</v>
      </c>
      <c r="Z122" s="6" t="s">
        <v>152</v>
      </c>
      <c r="AA122" s="6" t="s">
        <v>152</v>
      </c>
      <c r="AB122" s="6" t="s">
        <v>152</v>
      </c>
      <c r="AC122" s="9" t="s">
        <v>165</v>
      </c>
      <c r="AD122" s="9" t="s">
        <v>165</v>
      </c>
      <c r="AE122" s="9" t="s">
        <v>165</v>
      </c>
      <c r="AF122" s="6" t="s">
        <v>152</v>
      </c>
      <c r="AG122" s="6" t="s">
        <v>152</v>
      </c>
      <c r="AH122" s="6" t="s">
        <v>152</v>
      </c>
      <c r="AI122" s="6" t="s">
        <v>152</v>
      </c>
      <c r="AJ122" s="6" t="s">
        <v>152</v>
      </c>
      <c r="AK122" s="6" t="s">
        <v>152</v>
      </c>
      <c r="AL122" s="6" t="s">
        <v>152</v>
      </c>
      <c r="AM122" s="9" t="s">
        <v>165</v>
      </c>
      <c r="AN122" s="6" t="s">
        <v>152</v>
      </c>
      <c r="AO122" s="6" t="s">
        <v>152</v>
      </c>
      <c r="AP122" s="6" t="s">
        <v>152</v>
      </c>
      <c r="AQ122" s="6" t="s">
        <v>152</v>
      </c>
      <c r="AR122" s="6" t="s">
        <v>152</v>
      </c>
    </row>
    <row r="123" spans="1:44" x14ac:dyDescent="0.2">
      <c r="A123" s="1" t="str">
        <f ca="1">IFERROR(__xludf.DUMMYFUNCTION("""COMPUTED_VALUE"""),"Photon")</f>
        <v>Photon</v>
      </c>
      <c r="B123" s="6" t="s">
        <v>152</v>
      </c>
      <c r="C123" s="6" t="s">
        <v>152</v>
      </c>
      <c r="D123" s="6" t="s">
        <v>152</v>
      </c>
      <c r="E123" s="6" t="s">
        <v>152</v>
      </c>
      <c r="F123" s="9" t="s">
        <v>165</v>
      </c>
      <c r="G123" s="6" t="s">
        <v>152</v>
      </c>
      <c r="H123" s="6" t="s">
        <v>152</v>
      </c>
      <c r="I123" s="6" t="s">
        <v>152</v>
      </c>
      <c r="J123" s="6" t="s">
        <v>152</v>
      </c>
      <c r="K123" s="6" t="s">
        <v>152</v>
      </c>
      <c r="L123" s="6" t="s">
        <v>152</v>
      </c>
      <c r="M123" s="6" t="s">
        <v>152</v>
      </c>
      <c r="N123" s="6" t="s">
        <v>152</v>
      </c>
      <c r="O123" s="6" t="s">
        <v>152</v>
      </c>
      <c r="P123" s="6" t="s">
        <v>152</v>
      </c>
      <c r="Q123" s="6" t="s">
        <v>152</v>
      </c>
      <c r="R123" s="6" t="s">
        <v>152</v>
      </c>
      <c r="S123" s="6" t="s">
        <v>152</v>
      </c>
      <c r="T123" s="6" t="s">
        <v>152</v>
      </c>
      <c r="U123" s="6" t="s">
        <v>152</v>
      </c>
      <c r="V123" s="6" t="s">
        <v>152</v>
      </c>
      <c r="W123" s="6" t="s">
        <v>152</v>
      </c>
      <c r="X123" s="9" t="s">
        <v>165</v>
      </c>
      <c r="Y123" s="6" t="s">
        <v>152</v>
      </c>
      <c r="Z123" s="6" t="s">
        <v>152</v>
      </c>
      <c r="AA123" s="6" t="s">
        <v>152</v>
      </c>
      <c r="AB123" s="6" t="s">
        <v>152</v>
      </c>
      <c r="AC123" s="6" t="s">
        <v>152</v>
      </c>
      <c r="AD123" s="6" t="s">
        <v>152</v>
      </c>
      <c r="AE123" s="6" t="s">
        <v>152</v>
      </c>
      <c r="AF123" s="9" t="s">
        <v>165</v>
      </c>
      <c r="AG123" s="6" t="s">
        <v>152</v>
      </c>
      <c r="AH123" s="6" t="s">
        <v>152</v>
      </c>
      <c r="AI123" s="6" t="s">
        <v>152</v>
      </c>
      <c r="AJ123" s="6" t="s">
        <v>152</v>
      </c>
      <c r="AK123" s="6" t="s">
        <v>152</v>
      </c>
      <c r="AL123" s="6" t="s">
        <v>152</v>
      </c>
      <c r="AM123" s="6" t="s">
        <v>152</v>
      </c>
      <c r="AN123" s="6" t="s">
        <v>152</v>
      </c>
      <c r="AO123" s="6" t="s">
        <v>152</v>
      </c>
      <c r="AP123" s="6" t="s">
        <v>152</v>
      </c>
      <c r="AQ123" s="6" t="s">
        <v>152</v>
      </c>
      <c r="AR123" s="6" t="s">
        <v>152</v>
      </c>
    </row>
    <row r="124" spans="1:44" x14ac:dyDescent="0.2">
      <c r="A124" s="1" t="str">
        <f ca="1">IFERROR(__xludf.DUMMYFUNCTION("""COMPUTED_VALUE"""),"Phyla-Vell")</f>
        <v>Phyla-Vell</v>
      </c>
      <c r="B124" s="6" t="s">
        <v>152</v>
      </c>
      <c r="C124" s="6" t="s">
        <v>152</v>
      </c>
      <c r="D124" s="6" t="s">
        <v>152</v>
      </c>
      <c r="E124" s="6" t="s">
        <v>152</v>
      </c>
      <c r="F124" s="6" t="s">
        <v>152</v>
      </c>
      <c r="G124" s="6" t="s">
        <v>152</v>
      </c>
      <c r="H124" s="6" t="s">
        <v>152</v>
      </c>
      <c r="I124" s="6" t="s">
        <v>152</v>
      </c>
      <c r="J124" s="6" t="s">
        <v>152</v>
      </c>
      <c r="K124" s="9" t="s">
        <v>165</v>
      </c>
      <c r="L124" s="6" t="s">
        <v>152</v>
      </c>
      <c r="M124" s="6" t="s">
        <v>152</v>
      </c>
      <c r="N124" s="6" t="s">
        <v>152</v>
      </c>
      <c r="O124" s="6" t="s">
        <v>152</v>
      </c>
      <c r="P124" s="6" t="s">
        <v>152</v>
      </c>
      <c r="Q124" s="6" t="s">
        <v>152</v>
      </c>
      <c r="R124" s="6" t="s">
        <v>152</v>
      </c>
      <c r="S124" s="6" t="s">
        <v>152</v>
      </c>
      <c r="T124" s="6" t="s">
        <v>152</v>
      </c>
      <c r="U124" s="6" t="s">
        <v>152</v>
      </c>
      <c r="V124" s="6" t="s">
        <v>152</v>
      </c>
      <c r="W124" s="6" t="s">
        <v>152</v>
      </c>
      <c r="X124" s="6" t="s">
        <v>152</v>
      </c>
      <c r="Y124" s="6" t="s">
        <v>152</v>
      </c>
      <c r="Z124" s="6" t="s">
        <v>152</v>
      </c>
      <c r="AA124" s="6" t="s">
        <v>152</v>
      </c>
      <c r="AB124" s="9" t="s">
        <v>165</v>
      </c>
      <c r="AC124" s="6" t="s">
        <v>152</v>
      </c>
      <c r="AD124" s="6" t="s">
        <v>152</v>
      </c>
      <c r="AE124" s="6" t="s">
        <v>152</v>
      </c>
      <c r="AF124" s="6" t="s">
        <v>152</v>
      </c>
      <c r="AG124" s="6" t="s">
        <v>152</v>
      </c>
      <c r="AH124" s="6" t="s">
        <v>152</v>
      </c>
      <c r="AI124" s="6" t="s">
        <v>152</v>
      </c>
      <c r="AJ124" s="6" t="s">
        <v>152</v>
      </c>
      <c r="AK124" s="6" t="s">
        <v>152</v>
      </c>
      <c r="AL124" s="6" t="s">
        <v>152</v>
      </c>
      <c r="AM124" s="9" t="s">
        <v>165</v>
      </c>
      <c r="AN124" s="6" t="s">
        <v>152</v>
      </c>
      <c r="AO124" s="6" t="s">
        <v>152</v>
      </c>
      <c r="AP124" s="6" t="s">
        <v>152</v>
      </c>
      <c r="AQ124" s="6" t="s">
        <v>152</v>
      </c>
      <c r="AR124" s="6" t="s">
        <v>152</v>
      </c>
    </row>
    <row r="125" spans="1:44" x14ac:dyDescent="0.2">
      <c r="A125" s="1" t="str">
        <f ca="1">IFERROR(__xludf.DUMMYFUNCTION("""COMPUTED_VALUE"""),"Professor X")</f>
        <v>Professor X</v>
      </c>
      <c r="B125" s="6" t="s">
        <v>152</v>
      </c>
      <c r="C125" s="6" t="s">
        <v>152</v>
      </c>
      <c r="D125" s="6" t="s">
        <v>152</v>
      </c>
      <c r="E125" s="6" t="s">
        <v>152</v>
      </c>
      <c r="F125" s="6" t="s">
        <v>152</v>
      </c>
      <c r="G125" s="6" t="s">
        <v>152</v>
      </c>
      <c r="H125" s="6" t="s">
        <v>152</v>
      </c>
      <c r="I125" s="6" t="s">
        <v>152</v>
      </c>
      <c r="J125" s="6" t="s">
        <v>152</v>
      </c>
      <c r="K125" s="6" t="s">
        <v>152</v>
      </c>
      <c r="L125" s="6" t="s">
        <v>152</v>
      </c>
      <c r="M125" s="6" t="s">
        <v>152</v>
      </c>
      <c r="N125" s="6" t="s">
        <v>152</v>
      </c>
      <c r="O125" s="6" t="s">
        <v>152</v>
      </c>
      <c r="P125" s="6" t="s">
        <v>152</v>
      </c>
      <c r="Q125" s="6" t="s">
        <v>152</v>
      </c>
      <c r="R125" s="6" t="s">
        <v>152</v>
      </c>
      <c r="S125" s="6" t="s">
        <v>152</v>
      </c>
      <c r="T125" s="6" t="s">
        <v>152</v>
      </c>
      <c r="U125" s="6" t="s">
        <v>152</v>
      </c>
      <c r="V125" s="6" t="s">
        <v>152</v>
      </c>
      <c r="W125" s="6" t="s">
        <v>152</v>
      </c>
      <c r="X125" s="6" t="s">
        <v>152</v>
      </c>
      <c r="Y125" s="6" t="s">
        <v>152</v>
      </c>
      <c r="Z125" s="6" t="s">
        <v>152</v>
      </c>
      <c r="AA125" s="6" t="s">
        <v>152</v>
      </c>
      <c r="AB125" s="6" t="s">
        <v>152</v>
      </c>
      <c r="AC125" s="6" t="s">
        <v>152</v>
      </c>
      <c r="AD125" s="6" t="s">
        <v>152</v>
      </c>
      <c r="AE125" s="6" t="s">
        <v>152</v>
      </c>
      <c r="AF125" s="6" t="s">
        <v>152</v>
      </c>
      <c r="AG125" s="6" t="s">
        <v>152</v>
      </c>
      <c r="AH125" s="6" t="s">
        <v>152</v>
      </c>
      <c r="AI125" s="9" t="s">
        <v>165</v>
      </c>
      <c r="AJ125" s="6" t="s">
        <v>152</v>
      </c>
      <c r="AK125" s="6" t="s">
        <v>152</v>
      </c>
      <c r="AL125" s="6" t="s">
        <v>152</v>
      </c>
      <c r="AM125" s="6" t="s">
        <v>152</v>
      </c>
      <c r="AN125" s="6" t="s">
        <v>152</v>
      </c>
      <c r="AO125" s="6" t="s">
        <v>152</v>
      </c>
      <c r="AP125" s="6" t="s">
        <v>152</v>
      </c>
      <c r="AQ125" s="6" t="s">
        <v>152</v>
      </c>
      <c r="AR125" s="6" t="s">
        <v>152</v>
      </c>
    </row>
    <row r="126" spans="1:44" x14ac:dyDescent="0.2">
      <c r="A126" s="1" t="str">
        <f ca="1">IFERROR(__xludf.DUMMYFUNCTION("""COMPUTED_VALUE"""),"Prowler")</f>
        <v>Prowler</v>
      </c>
      <c r="B126" s="6" t="s">
        <v>152</v>
      </c>
      <c r="C126" s="6" t="s">
        <v>152</v>
      </c>
      <c r="D126" s="6" t="s">
        <v>152</v>
      </c>
      <c r="E126" s="6" t="s">
        <v>152</v>
      </c>
      <c r="F126" s="9" t="s">
        <v>165</v>
      </c>
      <c r="G126" s="6" t="s">
        <v>152</v>
      </c>
      <c r="H126" s="6" t="s">
        <v>152</v>
      </c>
      <c r="I126" s="6" t="s">
        <v>152</v>
      </c>
      <c r="J126" s="6" t="s">
        <v>152</v>
      </c>
      <c r="K126" s="6" t="s">
        <v>152</v>
      </c>
      <c r="L126" s="6" t="s">
        <v>152</v>
      </c>
      <c r="M126" s="6" t="s">
        <v>152</v>
      </c>
      <c r="N126" s="6" t="s">
        <v>152</v>
      </c>
      <c r="O126" s="9" t="s">
        <v>165</v>
      </c>
      <c r="P126" s="6" t="s">
        <v>152</v>
      </c>
      <c r="Q126" s="6" t="s">
        <v>152</v>
      </c>
      <c r="R126" s="6" t="s">
        <v>152</v>
      </c>
      <c r="S126" s="6" t="s">
        <v>152</v>
      </c>
      <c r="T126" s="9" t="s">
        <v>165</v>
      </c>
      <c r="U126" s="6" t="s">
        <v>152</v>
      </c>
      <c r="V126" s="6" t="s">
        <v>152</v>
      </c>
      <c r="W126" s="6" t="s">
        <v>152</v>
      </c>
      <c r="X126" s="6" t="s">
        <v>152</v>
      </c>
      <c r="Y126" s="6" t="s">
        <v>152</v>
      </c>
      <c r="Z126" s="9" t="s">
        <v>165</v>
      </c>
      <c r="AA126" s="6" t="s">
        <v>152</v>
      </c>
      <c r="AB126" s="6" t="s">
        <v>152</v>
      </c>
      <c r="AC126" s="6" t="s">
        <v>152</v>
      </c>
      <c r="AD126" s="6" t="s">
        <v>152</v>
      </c>
      <c r="AE126" s="6" t="s">
        <v>152</v>
      </c>
      <c r="AF126" s="6" t="s">
        <v>152</v>
      </c>
      <c r="AG126" s="6" t="s">
        <v>152</v>
      </c>
      <c r="AH126" s="6" t="s">
        <v>152</v>
      </c>
      <c r="AI126" s="9" t="s">
        <v>165</v>
      </c>
      <c r="AJ126" s="6" t="s">
        <v>152</v>
      </c>
      <c r="AK126" s="6" t="s">
        <v>152</v>
      </c>
      <c r="AL126" s="6" t="s">
        <v>152</v>
      </c>
      <c r="AM126" s="6" t="s">
        <v>152</v>
      </c>
      <c r="AN126" s="6" t="s">
        <v>152</v>
      </c>
      <c r="AO126" s="6" t="s">
        <v>152</v>
      </c>
      <c r="AP126" s="6" t="s">
        <v>152</v>
      </c>
      <c r="AQ126" s="6" t="s">
        <v>152</v>
      </c>
      <c r="AR126" s="6" t="s">
        <v>152</v>
      </c>
    </row>
    <row r="127" spans="1:44" x14ac:dyDescent="0.2">
      <c r="A127" s="1" t="str">
        <f ca="1">IFERROR(__xludf.DUMMYFUNCTION("""COMPUTED_VALUE"""),"Punisher")</f>
        <v>Punisher</v>
      </c>
      <c r="B127" s="6" t="s">
        <v>152</v>
      </c>
      <c r="C127" s="6" t="s">
        <v>152</v>
      </c>
      <c r="D127" s="6" t="s">
        <v>152</v>
      </c>
      <c r="E127" s="6" t="s">
        <v>152</v>
      </c>
      <c r="F127" s="6" t="s">
        <v>152</v>
      </c>
      <c r="G127" s="6" t="s">
        <v>152</v>
      </c>
      <c r="H127" s="6" t="s">
        <v>152</v>
      </c>
      <c r="I127" s="6" t="s">
        <v>152</v>
      </c>
      <c r="J127" s="6" t="s">
        <v>152</v>
      </c>
      <c r="K127" s="6" t="s">
        <v>152</v>
      </c>
      <c r="L127" s="6" t="s">
        <v>152</v>
      </c>
      <c r="M127" s="6" t="s">
        <v>152</v>
      </c>
      <c r="N127" s="6" t="s">
        <v>152</v>
      </c>
      <c r="O127" s="6" t="s">
        <v>152</v>
      </c>
      <c r="P127" s="6" t="s">
        <v>152</v>
      </c>
      <c r="Q127" s="6" t="s">
        <v>152</v>
      </c>
      <c r="R127" s="6" t="s">
        <v>152</v>
      </c>
      <c r="S127" s="6" t="s">
        <v>152</v>
      </c>
      <c r="T127" s="6" t="s">
        <v>152</v>
      </c>
      <c r="U127" s="6" t="s">
        <v>152</v>
      </c>
      <c r="V127" s="6" t="s">
        <v>152</v>
      </c>
      <c r="W127" s="6" t="s">
        <v>152</v>
      </c>
      <c r="X127" s="6" t="s">
        <v>152</v>
      </c>
      <c r="Y127" s="6" t="s">
        <v>152</v>
      </c>
      <c r="Z127" s="6" t="s">
        <v>152</v>
      </c>
      <c r="AA127" s="6" t="s">
        <v>152</v>
      </c>
      <c r="AB127" s="6" t="s">
        <v>152</v>
      </c>
      <c r="AC127" s="6" t="s">
        <v>152</v>
      </c>
      <c r="AD127" s="6" t="s">
        <v>152</v>
      </c>
      <c r="AE127" s="6" t="s">
        <v>152</v>
      </c>
      <c r="AF127" s="6" t="s">
        <v>152</v>
      </c>
      <c r="AG127" s="6" t="s">
        <v>152</v>
      </c>
      <c r="AH127" s="6" t="s">
        <v>152</v>
      </c>
      <c r="AI127" s="6" t="s">
        <v>152</v>
      </c>
      <c r="AJ127" s="6" t="s">
        <v>152</v>
      </c>
      <c r="AK127" s="6" t="s">
        <v>152</v>
      </c>
      <c r="AL127" s="6" t="s">
        <v>152</v>
      </c>
      <c r="AM127" s="6" t="s">
        <v>152</v>
      </c>
      <c r="AN127" s="6" t="s">
        <v>152</v>
      </c>
      <c r="AO127" s="6" t="s">
        <v>152</v>
      </c>
      <c r="AP127" s="6" t="s">
        <v>152</v>
      </c>
      <c r="AQ127" s="6" t="s">
        <v>152</v>
      </c>
      <c r="AR127" s="9" t="s">
        <v>165</v>
      </c>
    </row>
    <row r="128" spans="1:44" x14ac:dyDescent="0.2">
      <c r="A128" s="1" t="str">
        <f ca="1">IFERROR(__xludf.DUMMYFUNCTION("""COMPUTED_VALUE"""),"Punisher 2099")</f>
        <v>Punisher 2099</v>
      </c>
      <c r="B128" s="6" t="s">
        <v>152</v>
      </c>
      <c r="C128" s="6" t="s">
        <v>152</v>
      </c>
      <c r="D128" s="6" t="s">
        <v>152</v>
      </c>
      <c r="E128" s="6" t="s">
        <v>152</v>
      </c>
      <c r="F128" s="6" t="s">
        <v>152</v>
      </c>
      <c r="G128" s="6" t="s">
        <v>152</v>
      </c>
      <c r="H128" s="6" t="s">
        <v>152</v>
      </c>
      <c r="I128" s="6" t="s">
        <v>152</v>
      </c>
      <c r="J128" s="6" t="s">
        <v>152</v>
      </c>
      <c r="K128" s="6" t="s">
        <v>152</v>
      </c>
      <c r="L128" s="6" t="s">
        <v>152</v>
      </c>
      <c r="M128" s="6" t="s">
        <v>152</v>
      </c>
      <c r="N128" s="6" t="s">
        <v>152</v>
      </c>
      <c r="O128" s="6" t="s">
        <v>152</v>
      </c>
      <c r="P128" s="6" t="s">
        <v>152</v>
      </c>
      <c r="Q128" s="6" t="s">
        <v>152</v>
      </c>
      <c r="R128" s="6" t="s">
        <v>152</v>
      </c>
      <c r="S128" s="6" t="s">
        <v>152</v>
      </c>
      <c r="T128" s="6" t="s">
        <v>152</v>
      </c>
      <c r="U128" s="6" t="s">
        <v>152</v>
      </c>
      <c r="V128" s="6" t="s">
        <v>152</v>
      </c>
      <c r="W128" s="6" t="s">
        <v>152</v>
      </c>
      <c r="X128" s="6" t="s">
        <v>152</v>
      </c>
      <c r="Y128" s="6" t="s">
        <v>152</v>
      </c>
      <c r="Z128" s="9" t="s">
        <v>165</v>
      </c>
      <c r="AA128" s="6" t="s">
        <v>152</v>
      </c>
      <c r="AB128" s="6" t="s">
        <v>152</v>
      </c>
      <c r="AC128" s="6" t="s">
        <v>152</v>
      </c>
      <c r="AD128" s="6" t="s">
        <v>152</v>
      </c>
      <c r="AE128" s="6" t="s">
        <v>152</v>
      </c>
      <c r="AF128" s="6" t="s">
        <v>152</v>
      </c>
      <c r="AG128" s="6" t="s">
        <v>152</v>
      </c>
      <c r="AH128" s="6" t="s">
        <v>152</v>
      </c>
      <c r="AI128" s="6" t="s">
        <v>152</v>
      </c>
      <c r="AJ128" s="6" t="s">
        <v>152</v>
      </c>
      <c r="AK128" s="6" t="s">
        <v>152</v>
      </c>
      <c r="AL128" s="6" t="s">
        <v>152</v>
      </c>
      <c r="AM128" s="6" t="s">
        <v>152</v>
      </c>
      <c r="AN128" s="6" t="s">
        <v>152</v>
      </c>
      <c r="AO128" s="9" t="s">
        <v>165</v>
      </c>
      <c r="AP128" s="6" t="s">
        <v>152</v>
      </c>
      <c r="AQ128" s="6" t="s">
        <v>152</v>
      </c>
      <c r="AR128" s="6" t="s">
        <v>152</v>
      </c>
    </row>
    <row r="129" spans="1:44" x14ac:dyDescent="0.2">
      <c r="A129" s="1" t="str">
        <f ca="1">IFERROR(__xludf.DUMMYFUNCTION("""COMPUTED_VALUE"""),"Purgatory")</f>
        <v>Purgatory</v>
      </c>
      <c r="B129" s="6" t="s">
        <v>152</v>
      </c>
      <c r="C129" s="6" t="s">
        <v>152</v>
      </c>
      <c r="D129" s="6" t="s">
        <v>152</v>
      </c>
      <c r="E129" s="6" t="s">
        <v>152</v>
      </c>
      <c r="F129" s="9" t="s">
        <v>165</v>
      </c>
      <c r="G129" s="6" t="s">
        <v>152</v>
      </c>
      <c r="H129" s="6" t="s">
        <v>152</v>
      </c>
      <c r="I129" s="6" t="s">
        <v>152</v>
      </c>
      <c r="J129" s="6" t="s">
        <v>152</v>
      </c>
      <c r="K129" s="6" t="s">
        <v>152</v>
      </c>
      <c r="L129" s="6" t="s">
        <v>152</v>
      </c>
      <c r="M129" s="6" t="s">
        <v>152</v>
      </c>
      <c r="N129" s="6" t="s">
        <v>152</v>
      </c>
      <c r="O129" s="6" t="s">
        <v>152</v>
      </c>
      <c r="P129" s="6" t="s">
        <v>152</v>
      </c>
      <c r="Q129" s="6" t="s">
        <v>152</v>
      </c>
      <c r="R129" s="6" t="s">
        <v>152</v>
      </c>
      <c r="S129" s="6" t="s">
        <v>152</v>
      </c>
      <c r="T129" s="9" t="s">
        <v>165</v>
      </c>
      <c r="U129" s="6" t="s">
        <v>152</v>
      </c>
      <c r="V129" s="6" t="s">
        <v>152</v>
      </c>
      <c r="W129" s="6" t="s">
        <v>152</v>
      </c>
      <c r="X129" s="6" t="s">
        <v>152</v>
      </c>
      <c r="Y129" s="6" t="s">
        <v>152</v>
      </c>
      <c r="Z129" s="6" t="s">
        <v>152</v>
      </c>
      <c r="AA129" s="6" t="s">
        <v>152</v>
      </c>
      <c r="AB129" s="6" t="s">
        <v>152</v>
      </c>
      <c r="AC129" s="6" t="s">
        <v>152</v>
      </c>
      <c r="AD129" s="6" t="s">
        <v>152</v>
      </c>
      <c r="AE129" s="6" t="s">
        <v>152</v>
      </c>
      <c r="AF129" s="6" t="s">
        <v>152</v>
      </c>
      <c r="AG129" s="6" t="s">
        <v>152</v>
      </c>
      <c r="AH129" s="6" t="s">
        <v>152</v>
      </c>
      <c r="AI129" s="6" t="s">
        <v>152</v>
      </c>
      <c r="AJ129" s="6" t="s">
        <v>152</v>
      </c>
      <c r="AK129" s="6" t="s">
        <v>152</v>
      </c>
      <c r="AL129" s="6" t="s">
        <v>152</v>
      </c>
      <c r="AM129" s="6" t="s">
        <v>152</v>
      </c>
      <c r="AN129" s="6" t="s">
        <v>152</v>
      </c>
      <c r="AO129" s="6" t="s">
        <v>152</v>
      </c>
      <c r="AP129" s="6" t="s">
        <v>152</v>
      </c>
      <c r="AQ129" s="6" t="s">
        <v>152</v>
      </c>
      <c r="AR129" s="6" t="s">
        <v>152</v>
      </c>
    </row>
    <row r="130" spans="1:44" x14ac:dyDescent="0.2">
      <c r="A130" s="1" t="str">
        <f ca="1">IFERROR(__xludf.DUMMYFUNCTION("""COMPUTED_VALUE"""),"Quake")</f>
        <v>Quake</v>
      </c>
      <c r="B130" s="6" t="s">
        <v>152</v>
      </c>
      <c r="C130" s="6" t="s">
        <v>152</v>
      </c>
      <c r="D130" s="6" t="s">
        <v>152</v>
      </c>
      <c r="E130" s="6" t="s">
        <v>152</v>
      </c>
      <c r="F130" s="6" t="s">
        <v>152</v>
      </c>
      <c r="G130" s="6" t="s">
        <v>152</v>
      </c>
      <c r="H130" s="6" t="s">
        <v>152</v>
      </c>
      <c r="I130" s="6" t="s">
        <v>152</v>
      </c>
      <c r="J130" s="6" t="s">
        <v>152</v>
      </c>
      <c r="K130" s="6" t="s">
        <v>152</v>
      </c>
      <c r="L130" s="6" t="s">
        <v>152</v>
      </c>
      <c r="M130" s="6" t="s">
        <v>152</v>
      </c>
      <c r="N130" s="6" t="s">
        <v>152</v>
      </c>
      <c r="O130" s="6" t="s">
        <v>152</v>
      </c>
      <c r="P130" s="6" t="s">
        <v>152</v>
      </c>
      <c r="Q130" s="6" t="s">
        <v>152</v>
      </c>
      <c r="R130" s="6" t="s">
        <v>152</v>
      </c>
      <c r="S130" s="6" t="s">
        <v>152</v>
      </c>
      <c r="T130" s="6" t="s">
        <v>152</v>
      </c>
      <c r="U130" s="6" t="s">
        <v>152</v>
      </c>
      <c r="V130" s="6" t="s">
        <v>152</v>
      </c>
      <c r="W130" s="6" t="s">
        <v>152</v>
      </c>
      <c r="X130" s="6" t="s">
        <v>152</v>
      </c>
      <c r="Y130" s="6" t="s">
        <v>152</v>
      </c>
      <c r="Z130" s="6" t="s">
        <v>152</v>
      </c>
      <c r="AA130" s="6" t="s">
        <v>152</v>
      </c>
      <c r="AB130" s="9" t="s">
        <v>165</v>
      </c>
      <c r="AC130" s="6" t="s">
        <v>152</v>
      </c>
      <c r="AD130" s="6" t="s">
        <v>152</v>
      </c>
      <c r="AE130" s="6" t="s">
        <v>152</v>
      </c>
      <c r="AF130" s="6" t="s">
        <v>152</v>
      </c>
      <c r="AG130" s="6" t="s">
        <v>152</v>
      </c>
      <c r="AH130" s="6" t="s">
        <v>152</v>
      </c>
      <c r="AI130" s="6" t="s">
        <v>152</v>
      </c>
      <c r="AJ130" s="6" t="s">
        <v>152</v>
      </c>
      <c r="AK130" s="6" t="s">
        <v>152</v>
      </c>
      <c r="AL130" s="6" t="s">
        <v>152</v>
      </c>
      <c r="AM130" s="6" t="s">
        <v>152</v>
      </c>
      <c r="AN130" s="6" t="s">
        <v>152</v>
      </c>
      <c r="AO130" s="6" t="s">
        <v>152</v>
      </c>
      <c r="AP130" s="6" t="s">
        <v>152</v>
      </c>
      <c r="AQ130" s="6" t="s">
        <v>152</v>
      </c>
      <c r="AR130" s="6" t="s">
        <v>152</v>
      </c>
    </row>
    <row r="131" spans="1:44" x14ac:dyDescent="0.2">
      <c r="A131" s="1" t="str">
        <f ca="1">IFERROR(__xludf.DUMMYFUNCTION("""COMPUTED_VALUE"""),"Red Goblin")</f>
        <v>Red Goblin</v>
      </c>
      <c r="B131" s="6" t="s">
        <v>152</v>
      </c>
      <c r="C131" s="6" t="s">
        <v>152</v>
      </c>
      <c r="D131" s="6" t="s">
        <v>152</v>
      </c>
      <c r="E131" s="6" t="s">
        <v>152</v>
      </c>
      <c r="F131" s="6" t="s">
        <v>152</v>
      </c>
      <c r="G131" s="6" t="s">
        <v>152</v>
      </c>
      <c r="H131" s="6" t="s">
        <v>152</v>
      </c>
      <c r="I131" s="6" t="s">
        <v>152</v>
      </c>
      <c r="J131" s="6" t="s">
        <v>152</v>
      </c>
      <c r="K131" s="6" t="s">
        <v>152</v>
      </c>
      <c r="L131" s="6" t="s">
        <v>152</v>
      </c>
      <c r="M131" s="6" t="s">
        <v>152</v>
      </c>
      <c r="N131" s="6" t="s">
        <v>152</v>
      </c>
      <c r="O131" s="6" t="s">
        <v>152</v>
      </c>
      <c r="P131" s="6" t="s">
        <v>152</v>
      </c>
      <c r="Q131" s="6" t="s">
        <v>152</v>
      </c>
      <c r="R131" s="6" t="s">
        <v>152</v>
      </c>
      <c r="S131" s="6" t="s">
        <v>152</v>
      </c>
      <c r="T131" s="9" t="s">
        <v>165</v>
      </c>
      <c r="U131" s="6" t="s">
        <v>152</v>
      </c>
      <c r="V131" s="6" t="s">
        <v>152</v>
      </c>
      <c r="W131" s="6" t="s">
        <v>152</v>
      </c>
      <c r="X131" s="6" t="s">
        <v>152</v>
      </c>
      <c r="Y131" s="6" t="s">
        <v>152</v>
      </c>
      <c r="Z131" s="6" t="s">
        <v>152</v>
      </c>
      <c r="AA131" s="6" t="s">
        <v>152</v>
      </c>
      <c r="AB131" s="6" t="s">
        <v>152</v>
      </c>
      <c r="AC131" s="9" t="s">
        <v>165</v>
      </c>
      <c r="AD131" s="6" t="s">
        <v>152</v>
      </c>
      <c r="AE131" s="6" t="s">
        <v>152</v>
      </c>
      <c r="AF131" s="6" t="s">
        <v>152</v>
      </c>
      <c r="AG131" s="6" t="s">
        <v>152</v>
      </c>
      <c r="AH131" s="6" t="s">
        <v>152</v>
      </c>
      <c r="AI131" s="6" t="s">
        <v>152</v>
      </c>
      <c r="AJ131" s="6" t="s">
        <v>152</v>
      </c>
      <c r="AK131" s="6" t="s">
        <v>152</v>
      </c>
      <c r="AL131" s="6" t="s">
        <v>152</v>
      </c>
      <c r="AM131" s="6" t="s">
        <v>152</v>
      </c>
      <c r="AN131" s="6" t="s">
        <v>152</v>
      </c>
      <c r="AO131" s="6" t="s">
        <v>152</v>
      </c>
      <c r="AP131" s="6" t="s">
        <v>152</v>
      </c>
      <c r="AQ131" s="6" t="s">
        <v>152</v>
      </c>
      <c r="AR131" s="6" t="s">
        <v>152</v>
      </c>
    </row>
    <row r="132" spans="1:44" x14ac:dyDescent="0.2">
      <c r="A132" s="1" t="str">
        <f ca="1">IFERROR(__xludf.DUMMYFUNCTION("""COMPUTED_VALUE"""),"Red Guardian")</f>
        <v>Red Guardian</v>
      </c>
      <c r="B132" s="6" t="s">
        <v>152</v>
      </c>
      <c r="C132" s="6" t="s">
        <v>152</v>
      </c>
      <c r="D132" s="6" t="s">
        <v>152</v>
      </c>
      <c r="E132" s="6" t="s">
        <v>152</v>
      </c>
      <c r="F132" s="6" t="s">
        <v>152</v>
      </c>
      <c r="G132" s="9" t="s">
        <v>165</v>
      </c>
      <c r="H132" s="6" t="s">
        <v>152</v>
      </c>
      <c r="I132" s="6" t="s">
        <v>152</v>
      </c>
      <c r="J132" s="6" t="s">
        <v>152</v>
      </c>
      <c r="K132" s="6" t="s">
        <v>152</v>
      </c>
      <c r="L132" s="6" t="s">
        <v>152</v>
      </c>
      <c r="M132" s="6" t="s">
        <v>152</v>
      </c>
      <c r="N132" s="6" t="s">
        <v>152</v>
      </c>
      <c r="O132" s="6" t="s">
        <v>152</v>
      </c>
      <c r="P132" s="6" t="s">
        <v>152</v>
      </c>
      <c r="Q132" s="6" t="s">
        <v>152</v>
      </c>
      <c r="R132" s="6" t="s">
        <v>152</v>
      </c>
      <c r="S132" s="6" t="s">
        <v>152</v>
      </c>
      <c r="T132" s="6" t="s">
        <v>152</v>
      </c>
      <c r="U132" s="6" t="s">
        <v>152</v>
      </c>
      <c r="V132" s="6" t="s">
        <v>152</v>
      </c>
      <c r="W132" s="6" t="s">
        <v>152</v>
      </c>
      <c r="X132" s="6" t="s">
        <v>152</v>
      </c>
      <c r="Y132" s="6" t="s">
        <v>152</v>
      </c>
      <c r="Z132" s="6" t="s">
        <v>152</v>
      </c>
      <c r="AA132" s="6" t="s">
        <v>152</v>
      </c>
      <c r="AB132" s="6" t="s">
        <v>152</v>
      </c>
      <c r="AC132" s="6" t="s">
        <v>152</v>
      </c>
      <c r="AD132" s="6" t="s">
        <v>152</v>
      </c>
      <c r="AE132" s="6" t="s">
        <v>152</v>
      </c>
      <c r="AF132" s="6" t="s">
        <v>152</v>
      </c>
      <c r="AG132" s="6" t="s">
        <v>152</v>
      </c>
      <c r="AH132" s="6" t="s">
        <v>152</v>
      </c>
      <c r="AI132" s="6" t="s">
        <v>152</v>
      </c>
      <c r="AJ132" s="6" t="s">
        <v>152</v>
      </c>
      <c r="AK132" s="6" t="s">
        <v>152</v>
      </c>
      <c r="AL132" s="6" t="s">
        <v>152</v>
      </c>
      <c r="AM132" s="6" t="s">
        <v>152</v>
      </c>
      <c r="AN132" s="6" t="s">
        <v>152</v>
      </c>
      <c r="AO132" s="6" t="s">
        <v>152</v>
      </c>
      <c r="AP132" s="6" t="s">
        <v>152</v>
      </c>
      <c r="AQ132" s="6" t="s">
        <v>152</v>
      </c>
      <c r="AR132" s="6" t="s">
        <v>152</v>
      </c>
    </row>
    <row r="133" spans="1:44" x14ac:dyDescent="0.2">
      <c r="A133" s="1" t="str">
        <f ca="1">IFERROR(__xludf.DUMMYFUNCTION("""COMPUTED_VALUE"""),"Red Hulk")</f>
        <v>Red Hulk</v>
      </c>
      <c r="B133" s="6" t="s">
        <v>152</v>
      </c>
      <c r="C133" s="6" t="s">
        <v>152</v>
      </c>
      <c r="D133" s="6" t="s">
        <v>152</v>
      </c>
      <c r="E133" s="6" t="s">
        <v>152</v>
      </c>
      <c r="F133" s="6" t="s">
        <v>152</v>
      </c>
      <c r="G133" s="6" t="s">
        <v>152</v>
      </c>
      <c r="H133" s="6" t="s">
        <v>152</v>
      </c>
      <c r="I133" s="6" t="s">
        <v>152</v>
      </c>
      <c r="J133" s="6" t="s">
        <v>152</v>
      </c>
      <c r="K133" s="6" t="s">
        <v>152</v>
      </c>
      <c r="L133" s="6" t="s">
        <v>152</v>
      </c>
      <c r="M133" s="6" t="s">
        <v>152</v>
      </c>
      <c r="N133" s="6" t="s">
        <v>152</v>
      </c>
      <c r="O133" s="6" t="s">
        <v>152</v>
      </c>
      <c r="P133" s="6" t="s">
        <v>152</v>
      </c>
      <c r="Q133" s="6" t="s">
        <v>152</v>
      </c>
      <c r="R133" s="6" t="s">
        <v>152</v>
      </c>
      <c r="S133" s="6" t="s">
        <v>152</v>
      </c>
      <c r="T133" s="9" t="s">
        <v>165</v>
      </c>
      <c r="U133" s="6" t="s">
        <v>152</v>
      </c>
      <c r="V133" s="6" t="s">
        <v>152</v>
      </c>
      <c r="W133" s="6" t="s">
        <v>152</v>
      </c>
      <c r="X133" s="6" t="s">
        <v>152</v>
      </c>
      <c r="Y133" s="6" t="s">
        <v>152</v>
      </c>
      <c r="Z133" s="6" t="s">
        <v>152</v>
      </c>
      <c r="AA133" s="6" t="s">
        <v>152</v>
      </c>
      <c r="AB133" s="9" t="s">
        <v>165</v>
      </c>
      <c r="AC133" s="6" t="s">
        <v>152</v>
      </c>
      <c r="AD133" s="6" t="s">
        <v>152</v>
      </c>
      <c r="AE133" s="6" t="s">
        <v>152</v>
      </c>
      <c r="AF133" s="6" t="s">
        <v>152</v>
      </c>
      <c r="AG133" s="6" t="s">
        <v>152</v>
      </c>
      <c r="AH133" s="6" t="s">
        <v>152</v>
      </c>
      <c r="AI133" s="6" t="s">
        <v>152</v>
      </c>
      <c r="AJ133" s="6" t="s">
        <v>152</v>
      </c>
      <c r="AK133" s="6" t="s">
        <v>152</v>
      </c>
      <c r="AL133" s="6" t="s">
        <v>152</v>
      </c>
      <c r="AM133" s="6" t="s">
        <v>152</v>
      </c>
      <c r="AN133" s="6" t="s">
        <v>152</v>
      </c>
      <c r="AO133" s="6" t="s">
        <v>152</v>
      </c>
      <c r="AP133" s="6" t="s">
        <v>152</v>
      </c>
      <c r="AQ133" s="6" t="s">
        <v>152</v>
      </c>
      <c r="AR133" s="6" t="s">
        <v>152</v>
      </c>
    </row>
    <row r="134" spans="1:44" x14ac:dyDescent="0.2">
      <c r="A134" s="1" t="str">
        <f ca="1">IFERROR(__xludf.DUMMYFUNCTION("""COMPUTED_VALUE"""),"Red Skull")</f>
        <v>Red Skull</v>
      </c>
      <c r="B134" s="9" t="s">
        <v>165</v>
      </c>
      <c r="C134" s="6" t="s">
        <v>152</v>
      </c>
      <c r="D134" s="6" t="s">
        <v>152</v>
      </c>
      <c r="E134" s="6" t="s">
        <v>152</v>
      </c>
      <c r="F134" s="6" t="s">
        <v>152</v>
      </c>
      <c r="G134" s="6" t="s">
        <v>152</v>
      </c>
      <c r="H134" s="6" t="s">
        <v>152</v>
      </c>
      <c r="I134" s="6" t="s">
        <v>152</v>
      </c>
      <c r="J134" s="6" t="s">
        <v>152</v>
      </c>
      <c r="K134" s="6" t="s">
        <v>152</v>
      </c>
      <c r="L134" s="6" t="s">
        <v>152</v>
      </c>
      <c r="M134" s="6" t="s">
        <v>152</v>
      </c>
      <c r="N134" s="6" t="s">
        <v>152</v>
      </c>
      <c r="O134" s="6" t="s">
        <v>152</v>
      </c>
      <c r="P134" s="9" t="s">
        <v>165</v>
      </c>
      <c r="Q134" s="6" t="s">
        <v>152</v>
      </c>
      <c r="R134" s="6" t="s">
        <v>152</v>
      </c>
      <c r="S134" s="6" t="s">
        <v>152</v>
      </c>
      <c r="T134" s="6" t="s">
        <v>152</v>
      </c>
      <c r="U134" s="6" t="s">
        <v>152</v>
      </c>
      <c r="V134" s="6" t="s">
        <v>152</v>
      </c>
      <c r="W134" s="6" t="s">
        <v>152</v>
      </c>
      <c r="X134" s="6" t="s">
        <v>152</v>
      </c>
      <c r="Y134" s="6" t="s">
        <v>152</v>
      </c>
      <c r="Z134" s="9" t="s">
        <v>165</v>
      </c>
      <c r="AA134" s="6" t="s">
        <v>152</v>
      </c>
      <c r="AB134" s="6" t="s">
        <v>152</v>
      </c>
      <c r="AC134" s="6" t="s">
        <v>152</v>
      </c>
      <c r="AD134" s="6" t="s">
        <v>152</v>
      </c>
      <c r="AE134" s="6" t="s">
        <v>152</v>
      </c>
      <c r="AF134" s="6" t="s">
        <v>152</v>
      </c>
      <c r="AG134" s="6" t="s">
        <v>152</v>
      </c>
      <c r="AH134" s="6" t="s">
        <v>152</v>
      </c>
      <c r="AI134" s="6" t="s">
        <v>152</v>
      </c>
      <c r="AJ134" s="6" t="s">
        <v>152</v>
      </c>
      <c r="AK134" s="6" t="s">
        <v>152</v>
      </c>
      <c r="AL134" s="6" t="s">
        <v>152</v>
      </c>
      <c r="AM134" s="6" t="s">
        <v>152</v>
      </c>
      <c r="AN134" s="6" t="s">
        <v>152</v>
      </c>
      <c r="AO134" s="9" t="s">
        <v>165</v>
      </c>
      <c r="AP134" s="6" t="s">
        <v>152</v>
      </c>
      <c r="AQ134" s="6" t="s">
        <v>152</v>
      </c>
      <c r="AR134" s="6" t="s">
        <v>152</v>
      </c>
    </row>
    <row r="135" spans="1:44" x14ac:dyDescent="0.2">
      <c r="A135" s="1" t="str">
        <f ca="1">IFERROR(__xludf.DUMMYFUNCTION("""COMPUTED_VALUE"""),"Rintrah")</f>
        <v>Rintrah</v>
      </c>
      <c r="B135" s="6" t="s">
        <v>152</v>
      </c>
      <c r="C135" s="6" t="s">
        <v>152</v>
      </c>
      <c r="D135" s="6" t="s">
        <v>152</v>
      </c>
      <c r="E135" s="6" t="s">
        <v>152</v>
      </c>
      <c r="F135" s="6" t="s">
        <v>152</v>
      </c>
      <c r="G135" s="6" t="s">
        <v>152</v>
      </c>
      <c r="H135" s="6" t="s">
        <v>152</v>
      </c>
      <c r="I135" s="6" t="s">
        <v>152</v>
      </c>
      <c r="J135" s="6" t="s">
        <v>152</v>
      </c>
      <c r="K135" s="6" t="s">
        <v>152</v>
      </c>
      <c r="L135" s="6" t="s">
        <v>152</v>
      </c>
      <c r="M135" s="6" t="s">
        <v>152</v>
      </c>
      <c r="N135" s="6" t="s">
        <v>152</v>
      </c>
      <c r="O135" s="6" t="s">
        <v>152</v>
      </c>
      <c r="P135" s="6" t="s">
        <v>152</v>
      </c>
      <c r="Q135" s="6" t="s">
        <v>152</v>
      </c>
      <c r="R135" s="6" t="s">
        <v>152</v>
      </c>
      <c r="S135" s="6" t="s">
        <v>152</v>
      </c>
      <c r="T135" s="6" t="s">
        <v>152</v>
      </c>
      <c r="U135" s="6" t="s">
        <v>152</v>
      </c>
      <c r="V135" s="6" t="s">
        <v>152</v>
      </c>
      <c r="W135" s="6" t="s">
        <v>152</v>
      </c>
      <c r="X135" s="6" t="s">
        <v>152</v>
      </c>
      <c r="Y135" s="6" t="s">
        <v>152</v>
      </c>
      <c r="Z135" s="6" t="s">
        <v>152</v>
      </c>
      <c r="AA135" s="6" t="s">
        <v>152</v>
      </c>
      <c r="AB135" s="6" t="s">
        <v>152</v>
      </c>
      <c r="AC135" s="6" t="s">
        <v>152</v>
      </c>
      <c r="AD135" s="6" t="s">
        <v>152</v>
      </c>
      <c r="AE135" s="6" t="s">
        <v>152</v>
      </c>
      <c r="AF135" s="6" t="s">
        <v>152</v>
      </c>
      <c r="AG135" s="6" t="s">
        <v>152</v>
      </c>
      <c r="AH135" s="6" t="s">
        <v>152</v>
      </c>
      <c r="AI135" s="6" t="s">
        <v>152</v>
      </c>
      <c r="AJ135" s="6" t="s">
        <v>152</v>
      </c>
      <c r="AK135" s="6" t="s">
        <v>152</v>
      </c>
      <c r="AL135" s="6" t="s">
        <v>152</v>
      </c>
      <c r="AM135" s="6" t="s">
        <v>152</v>
      </c>
      <c r="AN135" s="6" t="s">
        <v>152</v>
      </c>
      <c r="AO135" s="6" t="s">
        <v>152</v>
      </c>
      <c r="AP135" s="9" t="s">
        <v>165</v>
      </c>
      <c r="AQ135" s="6" t="s">
        <v>152</v>
      </c>
      <c r="AR135" s="6" t="s">
        <v>152</v>
      </c>
    </row>
    <row r="136" spans="1:44" x14ac:dyDescent="0.2">
      <c r="A136" s="1" t="str">
        <f ca="1">IFERROR(__xludf.DUMMYFUNCTION("""COMPUTED_VALUE"""),"Rogue")</f>
        <v>Rogue</v>
      </c>
      <c r="B136" s="6" t="s">
        <v>152</v>
      </c>
      <c r="C136" s="6" t="s">
        <v>152</v>
      </c>
      <c r="D136" s="6" t="s">
        <v>152</v>
      </c>
      <c r="E136" s="6" t="s">
        <v>152</v>
      </c>
      <c r="F136" s="6" t="s">
        <v>152</v>
      </c>
      <c r="G136" s="6" t="s">
        <v>152</v>
      </c>
      <c r="H136" s="6" t="s">
        <v>152</v>
      </c>
      <c r="I136" s="6" t="s">
        <v>152</v>
      </c>
      <c r="J136" s="6" t="s">
        <v>152</v>
      </c>
      <c r="K136" s="6" t="s">
        <v>152</v>
      </c>
      <c r="L136" s="6" t="s">
        <v>152</v>
      </c>
      <c r="M136" s="6" t="s">
        <v>152</v>
      </c>
      <c r="N136" s="6" t="s">
        <v>152</v>
      </c>
      <c r="O136" s="6" t="s">
        <v>152</v>
      </c>
      <c r="P136" s="6" t="s">
        <v>152</v>
      </c>
      <c r="Q136" s="6" t="s">
        <v>152</v>
      </c>
      <c r="R136" s="6" t="s">
        <v>152</v>
      </c>
      <c r="S136" s="6" t="s">
        <v>152</v>
      </c>
      <c r="T136" s="6" t="s">
        <v>152</v>
      </c>
      <c r="U136" s="6" t="s">
        <v>152</v>
      </c>
      <c r="V136" s="6" t="s">
        <v>152</v>
      </c>
      <c r="W136" s="6" t="s">
        <v>152</v>
      </c>
      <c r="X136" s="6" t="s">
        <v>152</v>
      </c>
      <c r="Y136" s="6" t="s">
        <v>152</v>
      </c>
      <c r="Z136" s="6" t="s">
        <v>152</v>
      </c>
      <c r="AA136" s="6" t="s">
        <v>152</v>
      </c>
      <c r="AB136" s="6" t="s">
        <v>152</v>
      </c>
      <c r="AC136" s="6" t="s">
        <v>152</v>
      </c>
      <c r="AD136" s="6" t="s">
        <v>152</v>
      </c>
      <c r="AE136" s="6" t="s">
        <v>152</v>
      </c>
      <c r="AF136" s="6" t="s">
        <v>152</v>
      </c>
      <c r="AG136" s="6" t="s">
        <v>152</v>
      </c>
      <c r="AH136" s="6" t="s">
        <v>152</v>
      </c>
      <c r="AI136" s="9" t="s">
        <v>165</v>
      </c>
      <c r="AJ136" s="6" t="s">
        <v>152</v>
      </c>
      <c r="AK136" s="6" t="s">
        <v>152</v>
      </c>
      <c r="AL136" s="6" t="s">
        <v>152</v>
      </c>
      <c r="AM136" s="6" t="s">
        <v>152</v>
      </c>
      <c r="AN136" s="6" t="s">
        <v>152</v>
      </c>
      <c r="AO136" s="6" t="s">
        <v>152</v>
      </c>
      <c r="AP136" s="6" t="s">
        <v>152</v>
      </c>
      <c r="AQ136" s="6" t="s">
        <v>152</v>
      </c>
      <c r="AR136" s="6" t="s">
        <v>152</v>
      </c>
    </row>
    <row r="137" spans="1:44" x14ac:dyDescent="0.2">
      <c r="A137" s="1" t="str">
        <f ca="1">IFERROR(__xludf.DUMMYFUNCTION("""COMPUTED_VALUE"""),"Ronan")</f>
        <v>Ronan</v>
      </c>
      <c r="B137" s="6" t="s">
        <v>152</v>
      </c>
      <c r="C137" s="6" t="s">
        <v>152</v>
      </c>
      <c r="D137" s="6" t="s">
        <v>152</v>
      </c>
      <c r="E137" s="6" t="s">
        <v>152</v>
      </c>
      <c r="F137" s="6" t="s">
        <v>152</v>
      </c>
      <c r="G137" s="6" t="s">
        <v>152</v>
      </c>
      <c r="H137" s="6" t="s">
        <v>152</v>
      </c>
      <c r="I137" s="6" t="s">
        <v>152</v>
      </c>
      <c r="J137" s="6" t="s">
        <v>152</v>
      </c>
      <c r="K137" s="6" t="s">
        <v>152</v>
      </c>
      <c r="L137" s="6" t="s">
        <v>152</v>
      </c>
      <c r="M137" s="6" t="s">
        <v>152</v>
      </c>
      <c r="N137" s="6" t="s">
        <v>152</v>
      </c>
      <c r="O137" s="6" t="s">
        <v>152</v>
      </c>
      <c r="P137" s="6" t="s">
        <v>152</v>
      </c>
      <c r="Q137" s="6" t="s">
        <v>152</v>
      </c>
      <c r="R137" s="6" t="s">
        <v>152</v>
      </c>
      <c r="S137" s="6" t="s">
        <v>152</v>
      </c>
      <c r="T137" s="6" t="s">
        <v>152</v>
      </c>
      <c r="U137" s="6" t="s">
        <v>152</v>
      </c>
      <c r="V137" s="6" t="s">
        <v>152</v>
      </c>
      <c r="W137" s="6" t="s">
        <v>152</v>
      </c>
      <c r="X137" s="6" t="s">
        <v>152</v>
      </c>
      <c r="Y137" s="6" t="s">
        <v>152</v>
      </c>
      <c r="Z137" s="6" t="s">
        <v>152</v>
      </c>
      <c r="AA137" s="6" t="s">
        <v>152</v>
      </c>
      <c r="AB137" s="9" t="s">
        <v>165</v>
      </c>
      <c r="AC137" s="6" t="s">
        <v>152</v>
      </c>
      <c r="AD137" s="6" t="s">
        <v>152</v>
      </c>
      <c r="AE137" s="6" t="s">
        <v>152</v>
      </c>
      <c r="AF137" s="6" t="s">
        <v>152</v>
      </c>
      <c r="AG137" s="6" t="s">
        <v>152</v>
      </c>
      <c r="AH137" s="6" t="s">
        <v>152</v>
      </c>
      <c r="AI137" s="6" t="s">
        <v>152</v>
      </c>
      <c r="AJ137" s="6" t="s">
        <v>152</v>
      </c>
      <c r="AK137" s="6" t="s">
        <v>152</v>
      </c>
      <c r="AL137" s="6" t="s">
        <v>152</v>
      </c>
      <c r="AM137" s="6" t="s">
        <v>152</v>
      </c>
      <c r="AN137" s="6" t="s">
        <v>152</v>
      </c>
      <c r="AO137" s="6" t="s">
        <v>152</v>
      </c>
      <c r="AP137" s="6" t="s">
        <v>152</v>
      </c>
      <c r="AQ137" s="6" t="s">
        <v>152</v>
      </c>
      <c r="AR137" s="6" t="s">
        <v>152</v>
      </c>
    </row>
    <row r="138" spans="1:44" x14ac:dyDescent="0.2">
      <c r="A138" s="1" t="str">
        <f ca="1">IFERROR(__xludf.DUMMYFUNCTION("""COMPUTED_VALUE"""),"Ruby Thursday")</f>
        <v>Ruby Thursday</v>
      </c>
      <c r="B138" s="6" t="s">
        <v>152</v>
      </c>
      <c r="C138" s="6" t="s">
        <v>152</v>
      </c>
      <c r="D138" s="6" t="s">
        <v>152</v>
      </c>
      <c r="E138" s="6" t="s">
        <v>152</v>
      </c>
      <c r="F138" s="6" t="s">
        <v>152</v>
      </c>
      <c r="G138" s="6" t="s">
        <v>152</v>
      </c>
      <c r="H138" s="6" t="s">
        <v>152</v>
      </c>
      <c r="I138" s="6" t="s">
        <v>152</v>
      </c>
      <c r="J138" s="6" t="s">
        <v>152</v>
      </c>
      <c r="K138" s="6" t="s">
        <v>152</v>
      </c>
      <c r="L138" s="9" t="s">
        <v>165</v>
      </c>
      <c r="M138" s="6" t="s">
        <v>152</v>
      </c>
      <c r="N138" s="6" t="s">
        <v>152</v>
      </c>
      <c r="O138" s="6" t="s">
        <v>152</v>
      </c>
      <c r="P138" s="6" t="s">
        <v>152</v>
      </c>
      <c r="Q138" s="6" t="s">
        <v>152</v>
      </c>
      <c r="R138" s="6" t="s">
        <v>152</v>
      </c>
      <c r="S138" s="6" t="s">
        <v>152</v>
      </c>
      <c r="T138" s="6" t="s">
        <v>152</v>
      </c>
      <c r="U138" s="6" t="s">
        <v>152</v>
      </c>
      <c r="V138" s="6" t="s">
        <v>152</v>
      </c>
      <c r="W138" s="6" t="s">
        <v>152</v>
      </c>
      <c r="X138" s="6" t="s">
        <v>152</v>
      </c>
      <c r="Y138" s="6" t="s">
        <v>152</v>
      </c>
      <c r="Z138" s="6" t="s">
        <v>152</v>
      </c>
      <c r="AA138" s="6" t="s">
        <v>152</v>
      </c>
      <c r="AB138" s="6" t="s">
        <v>152</v>
      </c>
      <c r="AC138" s="6" t="s">
        <v>152</v>
      </c>
      <c r="AD138" s="6" t="s">
        <v>152</v>
      </c>
      <c r="AE138" s="6" t="s">
        <v>152</v>
      </c>
      <c r="AF138" s="6" t="s">
        <v>152</v>
      </c>
      <c r="AG138" s="6" t="s">
        <v>152</v>
      </c>
      <c r="AH138" s="6" t="s">
        <v>152</v>
      </c>
      <c r="AI138" s="6" t="s">
        <v>152</v>
      </c>
      <c r="AJ138" s="6" t="s">
        <v>152</v>
      </c>
      <c r="AK138" s="6" t="s">
        <v>152</v>
      </c>
      <c r="AL138" s="6" t="s">
        <v>152</v>
      </c>
      <c r="AM138" s="6" t="s">
        <v>152</v>
      </c>
      <c r="AN138" s="6" t="s">
        <v>152</v>
      </c>
      <c r="AO138" s="6" t="s">
        <v>152</v>
      </c>
      <c r="AP138" s="6" t="s">
        <v>152</v>
      </c>
      <c r="AQ138" s="6" t="s">
        <v>152</v>
      </c>
      <c r="AR138" s="6" t="s">
        <v>152</v>
      </c>
    </row>
    <row r="139" spans="1:44" x14ac:dyDescent="0.2">
      <c r="A139" s="1" t="str">
        <f ca="1">IFERROR(__xludf.DUMMYFUNCTION("""COMPUTED_VALUE"""),"Sabretooth")</f>
        <v>Sabretooth</v>
      </c>
      <c r="B139" s="6" t="s">
        <v>152</v>
      </c>
      <c r="C139" s="6" t="s">
        <v>152</v>
      </c>
      <c r="D139" s="6" t="s">
        <v>152</v>
      </c>
      <c r="E139" s="6" t="s">
        <v>152</v>
      </c>
      <c r="F139" s="6" t="s">
        <v>152</v>
      </c>
      <c r="G139" s="6" t="s">
        <v>152</v>
      </c>
      <c r="H139" s="9" t="s">
        <v>165</v>
      </c>
      <c r="I139" s="6" t="s">
        <v>152</v>
      </c>
      <c r="J139" s="6" t="s">
        <v>152</v>
      </c>
      <c r="K139" s="6" t="s">
        <v>152</v>
      </c>
      <c r="L139" s="6" t="s">
        <v>152</v>
      </c>
      <c r="M139" s="6" t="s">
        <v>152</v>
      </c>
      <c r="N139" s="6" t="s">
        <v>152</v>
      </c>
      <c r="O139" s="6" t="s">
        <v>152</v>
      </c>
      <c r="P139" s="6" t="s">
        <v>152</v>
      </c>
      <c r="Q139" s="6" t="s">
        <v>152</v>
      </c>
      <c r="R139" s="9" t="s">
        <v>165</v>
      </c>
      <c r="S139" s="6" t="s">
        <v>152</v>
      </c>
      <c r="T139" s="6" t="s">
        <v>152</v>
      </c>
      <c r="U139" s="6" t="s">
        <v>152</v>
      </c>
      <c r="V139" s="6" t="s">
        <v>152</v>
      </c>
      <c r="W139" s="6" t="s">
        <v>152</v>
      </c>
      <c r="X139" s="6" t="s">
        <v>152</v>
      </c>
      <c r="Y139" s="6" t="s">
        <v>152</v>
      </c>
      <c r="Z139" s="6" t="s">
        <v>152</v>
      </c>
      <c r="AA139" s="6" t="s">
        <v>152</v>
      </c>
      <c r="AB139" s="6" t="s">
        <v>152</v>
      </c>
      <c r="AC139" s="6" t="s">
        <v>152</v>
      </c>
      <c r="AD139" s="6" t="s">
        <v>152</v>
      </c>
      <c r="AE139" s="6" t="s">
        <v>152</v>
      </c>
      <c r="AF139" s="6" t="s">
        <v>152</v>
      </c>
      <c r="AG139" s="6" t="s">
        <v>152</v>
      </c>
      <c r="AH139" s="6" t="s">
        <v>152</v>
      </c>
      <c r="AI139" s="6" t="s">
        <v>152</v>
      </c>
      <c r="AJ139" s="6" t="s">
        <v>152</v>
      </c>
      <c r="AK139" s="6" t="s">
        <v>152</v>
      </c>
      <c r="AL139" s="6" t="s">
        <v>152</v>
      </c>
      <c r="AM139" s="6" t="s">
        <v>152</v>
      </c>
      <c r="AN139" s="6" t="s">
        <v>152</v>
      </c>
      <c r="AO139" s="6" t="s">
        <v>152</v>
      </c>
      <c r="AP139" s="6" t="s">
        <v>152</v>
      </c>
      <c r="AQ139" s="6" t="s">
        <v>152</v>
      </c>
      <c r="AR139" s="6" t="s">
        <v>152</v>
      </c>
    </row>
    <row r="140" spans="1:44" x14ac:dyDescent="0.2">
      <c r="A140" s="1" t="str">
        <f ca="1">IFERROR(__xludf.DUMMYFUNCTION("""COMPUTED_VALUE"""),"Sandman")</f>
        <v>Sandman</v>
      </c>
      <c r="B140" s="6" t="s">
        <v>152</v>
      </c>
      <c r="C140" s="6" t="s">
        <v>152</v>
      </c>
      <c r="D140" s="6" t="s">
        <v>152</v>
      </c>
      <c r="E140" s="6" t="s">
        <v>152</v>
      </c>
      <c r="F140" s="9" t="s">
        <v>165</v>
      </c>
      <c r="G140" s="6" t="s">
        <v>152</v>
      </c>
      <c r="H140" s="6" t="s">
        <v>152</v>
      </c>
      <c r="I140" s="6" t="s">
        <v>152</v>
      </c>
      <c r="J140" s="6" t="s">
        <v>152</v>
      </c>
      <c r="K140" s="6" t="s">
        <v>152</v>
      </c>
      <c r="L140" s="6" t="s">
        <v>152</v>
      </c>
      <c r="M140" s="6" t="s">
        <v>152</v>
      </c>
      <c r="N140" s="6" t="s">
        <v>152</v>
      </c>
      <c r="O140" s="6" t="s">
        <v>152</v>
      </c>
      <c r="P140" s="6" t="s">
        <v>152</v>
      </c>
      <c r="Q140" s="6" t="s">
        <v>152</v>
      </c>
      <c r="R140" s="6" t="s">
        <v>152</v>
      </c>
      <c r="S140" s="6" t="s">
        <v>152</v>
      </c>
      <c r="T140" s="6" t="s">
        <v>152</v>
      </c>
      <c r="U140" s="6" t="s">
        <v>152</v>
      </c>
      <c r="V140" s="6" t="s">
        <v>152</v>
      </c>
      <c r="W140" s="6" t="s">
        <v>152</v>
      </c>
      <c r="X140" s="6" t="s">
        <v>152</v>
      </c>
      <c r="Y140" s="6" t="s">
        <v>152</v>
      </c>
      <c r="Z140" s="6" t="s">
        <v>152</v>
      </c>
      <c r="AA140" s="6" t="s">
        <v>152</v>
      </c>
      <c r="AB140" s="9" t="s">
        <v>165</v>
      </c>
      <c r="AC140" s="6" t="s">
        <v>152</v>
      </c>
      <c r="AD140" s="6" t="s">
        <v>152</v>
      </c>
      <c r="AE140" s="6" t="s">
        <v>152</v>
      </c>
      <c r="AF140" s="6" t="s">
        <v>152</v>
      </c>
      <c r="AG140" s="6" t="s">
        <v>152</v>
      </c>
      <c r="AH140" s="6" t="s">
        <v>152</v>
      </c>
      <c r="AI140" s="6" t="s">
        <v>152</v>
      </c>
      <c r="AJ140" s="6" t="s">
        <v>152</v>
      </c>
      <c r="AK140" s="9" t="s">
        <v>165</v>
      </c>
      <c r="AL140" s="6" t="s">
        <v>152</v>
      </c>
      <c r="AM140" s="6" t="s">
        <v>152</v>
      </c>
      <c r="AN140" s="6" t="s">
        <v>152</v>
      </c>
      <c r="AO140" s="6" t="s">
        <v>152</v>
      </c>
      <c r="AP140" s="6" t="s">
        <v>152</v>
      </c>
      <c r="AQ140" s="6" t="s">
        <v>152</v>
      </c>
      <c r="AR140" s="6" t="s">
        <v>152</v>
      </c>
    </row>
    <row r="141" spans="1:44" x14ac:dyDescent="0.2">
      <c r="A141" s="1" t="str">
        <f ca="1">IFERROR(__xludf.DUMMYFUNCTION("""COMPUTED_VALUE"""),"Sasquatch")</f>
        <v>Sasquatch</v>
      </c>
      <c r="B141" s="6" t="s">
        <v>152</v>
      </c>
      <c r="C141" s="9" t="s">
        <v>165</v>
      </c>
      <c r="D141" s="6" t="s">
        <v>152</v>
      </c>
      <c r="E141" s="6" t="s">
        <v>152</v>
      </c>
      <c r="F141" s="6" t="s">
        <v>152</v>
      </c>
      <c r="G141" s="6" t="s">
        <v>152</v>
      </c>
      <c r="H141" s="6" t="s">
        <v>152</v>
      </c>
      <c r="I141" s="6" t="s">
        <v>152</v>
      </c>
      <c r="J141" s="6" t="s">
        <v>152</v>
      </c>
      <c r="K141" s="6" t="s">
        <v>152</v>
      </c>
      <c r="L141" s="6" t="s">
        <v>152</v>
      </c>
      <c r="M141" s="6" t="s">
        <v>152</v>
      </c>
      <c r="N141" s="6" t="s">
        <v>152</v>
      </c>
      <c r="O141" s="6" t="s">
        <v>152</v>
      </c>
      <c r="P141" s="6" t="s">
        <v>152</v>
      </c>
      <c r="Q141" s="6" t="s">
        <v>152</v>
      </c>
      <c r="R141" s="9" t="s">
        <v>165</v>
      </c>
      <c r="S141" s="6" t="s">
        <v>152</v>
      </c>
      <c r="T141" s="6" t="s">
        <v>152</v>
      </c>
      <c r="U141" s="6" t="s">
        <v>152</v>
      </c>
      <c r="V141" s="6" t="s">
        <v>152</v>
      </c>
      <c r="W141" s="6" t="s">
        <v>152</v>
      </c>
      <c r="X141" s="6" t="s">
        <v>152</v>
      </c>
      <c r="Y141" s="6" t="s">
        <v>152</v>
      </c>
      <c r="Z141" s="6" t="s">
        <v>152</v>
      </c>
      <c r="AA141" s="6" t="s">
        <v>152</v>
      </c>
      <c r="AB141" s="6" t="s">
        <v>152</v>
      </c>
      <c r="AC141" s="6" t="s">
        <v>152</v>
      </c>
      <c r="AD141" s="6" t="s">
        <v>152</v>
      </c>
      <c r="AE141" s="6" t="s">
        <v>152</v>
      </c>
      <c r="AF141" s="6" t="s">
        <v>152</v>
      </c>
      <c r="AG141" s="6" t="s">
        <v>152</v>
      </c>
      <c r="AH141" s="6" t="s">
        <v>152</v>
      </c>
      <c r="AI141" s="6" t="s">
        <v>152</v>
      </c>
      <c r="AJ141" s="6" t="s">
        <v>152</v>
      </c>
      <c r="AK141" s="6" t="s">
        <v>152</v>
      </c>
      <c r="AL141" s="6" t="s">
        <v>152</v>
      </c>
      <c r="AM141" s="6" t="s">
        <v>152</v>
      </c>
      <c r="AN141" s="6" t="s">
        <v>152</v>
      </c>
      <c r="AO141" s="6" t="s">
        <v>152</v>
      </c>
      <c r="AP141" s="6" t="s">
        <v>152</v>
      </c>
      <c r="AQ141" s="6" t="s">
        <v>152</v>
      </c>
      <c r="AR141" s="6" t="s">
        <v>152</v>
      </c>
    </row>
    <row r="142" spans="1:44" x14ac:dyDescent="0.2">
      <c r="A142" s="1" t="str">
        <f ca="1">IFERROR(__xludf.DUMMYFUNCTION("""COMPUTED_VALUE"""),"Sauron")</f>
        <v>Sauron</v>
      </c>
      <c r="B142" s="6" t="s">
        <v>152</v>
      </c>
      <c r="C142" s="6" t="s">
        <v>152</v>
      </c>
      <c r="D142" s="6" t="s">
        <v>152</v>
      </c>
      <c r="E142" s="6" t="s">
        <v>152</v>
      </c>
      <c r="F142" s="6" t="s">
        <v>152</v>
      </c>
      <c r="G142" s="6" t="s">
        <v>152</v>
      </c>
      <c r="H142" s="6" t="s">
        <v>152</v>
      </c>
      <c r="I142" s="6" t="s">
        <v>152</v>
      </c>
      <c r="J142" s="6" t="s">
        <v>152</v>
      </c>
      <c r="K142" s="6" t="s">
        <v>152</v>
      </c>
      <c r="L142" s="6" t="s">
        <v>152</v>
      </c>
      <c r="M142" s="6" t="s">
        <v>152</v>
      </c>
      <c r="N142" s="6" t="s">
        <v>152</v>
      </c>
      <c r="O142" s="6" t="s">
        <v>152</v>
      </c>
      <c r="P142" s="6" t="s">
        <v>152</v>
      </c>
      <c r="Q142" s="6" t="s">
        <v>152</v>
      </c>
      <c r="R142" s="6" t="s">
        <v>152</v>
      </c>
      <c r="S142" s="6" t="s">
        <v>152</v>
      </c>
      <c r="T142" s="6" t="s">
        <v>152</v>
      </c>
      <c r="U142" s="6" t="s">
        <v>152</v>
      </c>
      <c r="V142" s="6" t="s">
        <v>152</v>
      </c>
      <c r="W142" s="6" t="s">
        <v>152</v>
      </c>
      <c r="X142" s="6" t="s">
        <v>152</v>
      </c>
      <c r="Y142" s="6" t="s">
        <v>152</v>
      </c>
      <c r="Z142" s="6" t="s">
        <v>152</v>
      </c>
      <c r="AA142" s="6" t="s">
        <v>152</v>
      </c>
      <c r="AB142" s="9" t="s">
        <v>165</v>
      </c>
      <c r="AC142" s="6" t="s">
        <v>152</v>
      </c>
      <c r="AD142" s="6" t="s">
        <v>152</v>
      </c>
      <c r="AE142" s="6" t="s">
        <v>152</v>
      </c>
      <c r="AF142" s="9" t="s">
        <v>165</v>
      </c>
      <c r="AG142" s="6" t="s">
        <v>152</v>
      </c>
      <c r="AH142" s="6" t="s">
        <v>152</v>
      </c>
      <c r="AI142" s="6" t="s">
        <v>152</v>
      </c>
      <c r="AJ142" s="6" t="s">
        <v>152</v>
      </c>
      <c r="AK142" s="6" t="s">
        <v>152</v>
      </c>
      <c r="AL142" s="6" t="s">
        <v>152</v>
      </c>
      <c r="AM142" s="6" t="s">
        <v>152</v>
      </c>
      <c r="AN142" s="6" t="s">
        <v>152</v>
      </c>
      <c r="AO142" s="6" t="s">
        <v>152</v>
      </c>
      <c r="AP142" s="6" t="s">
        <v>152</v>
      </c>
      <c r="AQ142" s="6" t="s">
        <v>152</v>
      </c>
      <c r="AR142" s="6" t="s">
        <v>152</v>
      </c>
    </row>
    <row r="143" spans="1:44" x14ac:dyDescent="0.2">
      <c r="A143" s="1" t="str">
        <f ca="1">IFERROR(__xludf.DUMMYFUNCTION("""COMPUTED_VALUE"""),"Scorpion")</f>
        <v>Scorpion</v>
      </c>
      <c r="B143" s="6" t="s">
        <v>152</v>
      </c>
      <c r="C143" s="6" t="s">
        <v>152</v>
      </c>
      <c r="D143" s="6" t="s">
        <v>152</v>
      </c>
      <c r="E143" s="6" t="s">
        <v>152</v>
      </c>
      <c r="F143" s="6" t="s">
        <v>152</v>
      </c>
      <c r="G143" s="6" t="s">
        <v>152</v>
      </c>
      <c r="H143" s="6" t="s">
        <v>152</v>
      </c>
      <c r="I143" s="6" t="s">
        <v>152</v>
      </c>
      <c r="J143" s="6" t="s">
        <v>152</v>
      </c>
      <c r="K143" s="6" t="s">
        <v>152</v>
      </c>
      <c r="L143" s="6" t="s">
        <v>152</v>
      </c>
      <c r="M143" s="6" t="s">
        <v>152</v>
      </c>
      <c r="N143" s="6" t="s">
        <v>152</v>
      </c>
      <c r="O143" s="6" t="s">
        <v>152</v>
      </c>
      <c r="P143" s="6" t="s">
        <v>152</v>
      </c>
      <c r="Q143" s="6" t="s">
        <v>152</v>
      </c>
      <c r="R143" s="6" t="s">
        <v>152</v>
      </c>
      <c r="S143" s="6" t="s">
        <v>152</v>
      </c>
      <c r="T143" s="6" t="s">
        <v>152</v>
      </c>
      <c r="U143" s="6" t="s">
        <v>152</v>
      </c>
      <c r="V143" s="6" t="s">
        <v>152</v>
      </c>
      <c r="W143" s="6" t="s">
        <v>152</v>
      </c>
      <c r="X143" s="6" t="s">
        <v>152</v>
      </c>
      <c r="Y143" s="6" t="s">
        <v>152</v>
      </c>
      <c r="Z143" s="6" t="s">
        <v>152</v>
      </c>
      <c r="AA143" s="6" t="s">
        <v>152</v>
      </c>
      <c r="AB143" s="9" t="s">
        <v>165</v>
      </c>
      <c r="AC143" s="6" t="s">
        <v>152</v>
      </c>
      <c r="AD143" s="6" t="s">
        <v>152</v>
      </c>
      <c r="AE143" s="6" t="s">
        <v>152</v>
      </c>
      <c r="AF143" s="6" t="s">
        <v>152</v>
      </c>
      <c r="AG143" s="6" t="s">
        <v>152</v>
      </c>
      <c r="AH143" s="6" t="s">
        <v>152</v>
      </c>
      <c r="AI143" s="6" t="s">
        <v>152</v>
      </c>
      <c r="AJ143" s="9" t="s">
        <v>165</v>
      </c>
      <c r="AK143" s="9" t="s">
        <v>165</v>
      </c>
      <c r="AL143" s="6" t="s">
        <v>152</v>
      </c>
      <c r="AM143" s="6" t="s">
        <v>152</v>
      </c>
      <c r="AN143" s="6" t="s">
        <v>152</v>
      </c>
      <c r="AO143" s="6" t="s">
        <v>152</v>
      </c>
      <c r="AP143" s="6" t="s">
        <v>152</v>
      </c>
      <c r="AQ143" s="6" t="s">
        <v>152</v>
      </c>
      <c r="AR143" s="6" t="s">
        <v>152</v>
      </c>
    </row>
    <row r="144" spans="1:44" x14ac:dyDescent="0.2">
      <c r="A144" s="1" t="str">
        <f ca="1">IFERROR(__xludf.DUMMYFUNCTION("""COMPUTED_VALUE"""),"Sentinel")</f>
        <v>Sentinel</v>
      </c>
      <c r="B144" s="6" t="s">
        <v>152</v>
      </c>
      <c r="C144" s="9" t="s">
        <v>165</v>
      </c>
      <c r="D144" s="6" t="s">
        <v>152</v>
      </c>
      <c r="E144" s="6" t="s">
        <v>152</v>
      </c>
      <c r="F144" s="9" t="s">
        <v>165</v>
      </c>
      <c r="G144" s="6" t="s">
        <v>152</v>
      </c>
      <c r="H144" s="9" t="s">
        <v>165</v>
      </c>
      <c r="I144" s="6" t="s">
        <v>152</v>
      </c>
      <c r="J144" s="6" t="s">
        <v>152</v>
      </c>
      <c r="K144" s="6" t="s">
        <v>152</v>
      </c>
      <c r="L144" s="6" t="s">
        <v>152</v>
      </c>
      <c r="M144" s="6" t="s">
        <v>152</v>
      </c>
      <c r="N144" s="6" t="s">
        <v>152</v>
      </c>
      <c r="O144" s="6" t="s">
        <v>152</v>
      </c>
      <c r="P144" s="6" t="s">
        <v>152</v>
      </c>
      <c r="Q144" s="6" t="s">
        <v>152</v>
      </c>
      <c r="R144" s="9" t="s">
        <v>165</v>
      </c>
      <c r="S144" s="6" t="s">
        <v>152</v>
      </c>
      <c r="T144" s="6" t="s">
        <v>152</v>
      </c>
      <c r="U144" s="6" t="s">
        <v>152</v>
      </c>
      <c r="V144" s="6" t="s">
        <v>152</v>
      </c>
      <c r="W144" s="6" t="s">
        <v>152</v>
      </c>
      <c r="X144" s="6" t="s">
        <v>152</v>
      </c>
      <c r="Y144" s="6" t="s">
        <v>152</v>
      </c>
      <c r="Z144" s="6" t="s">
        <v>152</v>
      </c>
      <c r="AA144" s="6" t="s">
        <v>152</v>
      </c>
      <c r="AB144" s="9" t="s">
        <v>165</v>
      </c>
      <c r="AC144" s="6" t="s">
        <v>152</v>
      </c>
      <c r="AD144" s="6" t="s">
        <v>152</v>
      </c>
      <c r="AE144" s="6" t="s">
        <v>152</v>
      </c>
      <c r="AF144" s="6" t="s">
        <v>152</v>
      </c>
      <c r="AG144" s="6" t="s">
        <v>152</v>
      </c>
      <c r="AH144" s="6" t="s">
        <v>152</v>
      </c>
      <c r="AI144" s="6" t="s">
        <v>152</v>
      </c>
      <c r="AJ144" s="6" t="s">
        <v>152</v>
      </c>
      <c r="AK144" s="6" t="s">
        <v>152</v>
      </c>
      <c r="AL144" s="6" t="s">
        <v>152</v>
      </c>
      <c r="AM144" s="6" t="s">
        <v>152</v>
      </c>
      <c r="AN144" s="6" t="s">
        <v>152</v>
      </c>
      <c r="AO144" s="6" t="s">
        <v>152</v>
      </c>
      <c r="AP144" s="6" t="s">
        <v>152</v>
      </c>
      <c r="AQ144" s="6" t="s">
        <v>152</v>
      </c>
      <c r="AR144" s="6" t="s">
        <v>152</v>
      </c>
    </row>
    <row r="145" spans="1:44" x14ac:dyDescent="0.2">
      <c r="A145" s="1" t="str">
        <f ca="1">IFERROR(__xludf.DUMMYFUNCTION("""COMPUTED_VALUE"""),"Sentry")</f>
        <v>Sentry</v>
      </c>
      <c r="B145" s="6" t="s">
        <v>152</v>
      </c>
      <c r="C145" s="6" t="s">
        <v>152</v>
      </c>
      <c r="D145" s="6" t="s">
        <v>152</v>
      </c>
      <c r="E145" s="6" t="s">
        <v>152</v>
      </c>
      <c r="F145" s="6" t="s">
        <v>152</v>
      </c>
      <c r="G145" s="6" t="s">
        <v>152</v>
      </c>
      <c r="H145" s="6" t="s">
        <v>152</v>
      </c>
      <c r="I145" s="6" t="s">
        <v>152</v>
      </c>
      <c r="J145" s="6" t="s">
        <v>152</v>
      </c>
      <c r="K145" s="6" t="s">
        <v>152</v>
      </c>
      <c r="L145" s="6" t="s">
        <v>152</v>
      </c>
      <c r="M145" s="6" t="s">
        <v>152</v>
      </c>
      <c r="N145" s="6" t="s">
        <v>152</v>
      </c>
      <c r="O145" s="6" t="s">
        <v>152</v>
      </c>
      <c r="P145" s="9" t="s">
        <v>165</v>
      </c>
      <c r="Q145" s="6" t="s">
        <v>152</v>
      </c>
      <c r="R145" s="6" t="s">
        <v>152</v>
      </c>
      <c r="S145" s="6" t="s">
        <v>152</v>
      </c>
      <c r="T145" s="9" t="s">
        <v>165</v>
      </c>
      <c r="U145" s="6" t="s">
        <v>152</v>
      </c>
      <c r="V145" s="6" t="s">
        <v>152</v>
      </c>
      <c r="W145" s="6" t="s">
        <v>152</v>
      </c>
      <c r="X145" s="6" t="s">
        <v>152</v>
      </c>
      <c r="Y145" s="6" t="s">
        <v>152</v>
      </c>
      <c r="Z145" s="9" t="s">
        <v>165</v>
      </c>
      <c r="AA145" s="6" t="s">
        <v>152</v>
      </c>
      <c r="AB145" s="9" t="s">
        <v>165</v>
      </c>
      <c r="AC145" s="6" t="s">
        <v>152</v>
      </c>
      <c r="AD145" s="6" t="s">
        <v>152</v>
      </c>
      <c r="AE145" s="6" t="s">
        <v>152</v>
      </c>
      <c r="AF145" s="6" t="s">
        <v>152</v>
      </c>
      <c r="AG145" s="6" t="s">
        <v>152</v>
      </c>
      <c r="AH145" s="6" t="s">
        <v>152</v>
      </c>
      <c r="AI145" s="6" t="s">
        <v>152</v>
      </c>
      <c r="AJ145" s="6" t="s">
        <v>152</v>
      </c>
      <c r="AK145" s="6" t="s">
        <v>152</v>
      </c>
      <c r="AL145" s="6" t="s">
        <v>152</v>
      </c>
      <c r="AM145" s="6" t="s">
        <v>152</v>
      </c>
      <c r="AN145" s="6" t="s">
        <v>152</v>
      </c>
      <c r="AO145" s="6" t="s">
        <v>152</v>
      </c>
      <c r="AP145" s="6" t="s">
        <v>152</v>
      </c>
      <c r="AQ145" s="6" t="s">
        <v>152</v>
      </c>
      <c r="AR145" s="6" t="s">
        <v>152</v>
      </c>
    </row>
    <row r="146" spans="1:44" x14ac:dyDescent="0.2">
      <c r="A146" s="1" t="str">
        <f ca="1">IFERROR(__xludf.DUMMYFUNCTION("""COMPUTED_VALUE"""),"She-Hulk")</f>
        <v>She-Hulk</v>
      </c>
      <c r="B146" s="6" t="s">
        <v>152</v>
      </c>
      <c r="C146" s="6" t="s">
        <v>152</v>
      </c>
      <c r="D146" s="6" t="s">
        <v>152</v>
      </c>
      <c r="E146" s="6" t="s">
        <v>152</v>
      </c>
      <c r="F146" s="6" t="s">
        <v>152</v>
      </c>
      <c r="G146" s="6" t="s">
        <v>152</v>
      </c>
      <c r="H146" s="6" t="s">
        <v>152</v>
      </c>
      <c r="I146" s="6" t="s">
        <v>152</v>
      </c>
      <c r="J146" s="6" t="s">
        <v>152</v>
      </c>
      <c r="K146" s="6" t="s">
        <v>152</v>
      </c>
      <c r="L146" s="6" t="s">
        <v>152</v>
      </c>
      <c r="M146" s="6" t="s">
        <v>152</v>
      </c>
      <c r="N146" s="6" t="s">
        <v>152</v>
      </c>
      <c r="O146" s="6" t="s">
        <v>152</v>
      </c>
      <c r="P146" s="6" t="s">
        <v>152</v>
      </c>
      <c r="Q146" s="6" t="s">
        <v>152</v>
      </c>
      <c r="R146" s="6" t="s">
        <v>152</v>
      </c>
      <c r="S146" s="6" t="s">
        <v>152</v>
      </c>
      <c r="T146" s="6" t="s">
        <v>152</v>
      </c>
      <c r="U146" s="6" t="s">
        <v>152</v>
      </c>
      <c r="V146" s="6" t="s">
        <v>152</v>
      </c>
      <c r="W146" s="6" t="s">
        <v>152</v>
      </c>
      <c r="X146" s="6" t="s">
        <v>152</v>
      </c>
      <c r="Y146" s="6" t="s">
        <v>152</v>
      </c>
      <c r="Z146" s="6" t="s">
        <v>152</v>
      </c>
      <c r="AA146" s="6" t="s">
        <v>152</v>
      </c>
      <c r="AB146" s="9" t="s">
        <v>165</v>
      </c>
      <c r="AC146" s="6" t="s">
        <v>152</v>
      </c>
      <c r="AD146" s="6" t="s">
        <v>152</v>
      </c>
      <c r="AE146" s="6" t="s">
        <v>152</v>
      </c>
      <c r="AF146" s="6" t="s">
        <v>152</v>
      </c>
      <c r="AG146" s="6" t="s">
        <v>152</v>
      </c>
      <c r="AH146" s="6" t="s">
        <v>152</v>
      </c>
      <c r="AI146" s="6" t="s">
        <v>152</v>
      </c>
      <c r="AJ146" s="6" t="s">
        <v>152</v>
      </c>
      <c r="AK146" s="6" t="s">
        <v>152</v>
      </c>
      <c r="AL146" s="6" t="s">
        <v>152</v>
      </c>
      <c r="AM146" s="6" t="s">
        <v>152</v>
      </c>
      <c r="AN146" s="6" t="s">
        <v>152</v>
      </c>
      <c r="AO146" s="6" t="s">
        <v>152</v>
      </c>
      <c r="AP146" s="6" t="s">
        <v>152</v>
      </c>
      <c r="AQ146" s="6" t="s">
        <v>152</v>
      </c>
      <c r="AR146" s="6" t="s">
        <v>152</v>
      </c>
    </row>
    <row r="147" spans="1:44" x14ac:dyDescent="0.2">
      <c r="A147" s="1" t="str">
        <f ca="1">IFERROR(__xludf.DUMMYFUNCTION("""COMPUTED_VALUE"""),"She-Hulk (Deathless)")</f>
        <v>She-Hulk (Deathless)</v>
      </c>
      <c r="B147" s="6" t="s">
        <v>152</v>
      </c>
      <c r="C147" s="6" t="s">
        <v>152</v>
      </c>
      <c r="D147" s="6" t="s">
        <v>152</v>
      </c>
      <c r="E147" s="6" t="s">
        <v>152</v>
      </c>
      <c r="F147" s="6" t="s">
        <v>152</v>
      </c>
      <c r="G147" s="6" t="s">
        <v>152</v>
      </c>
      <c r="H147" s="6" t="s">
        <v>152</v>
      </c>
      <c r="I147" s="6" t="s">
        <v>152</v>
      </c>
      <c r="J147" s="6" t="s">
        <v>152</v>
      </c>
      <c r="K147" s="6" t="s">
        <v>152</v>
      </c>
      <c r="L147" s="6" t="s">
        <v>152</v>
      </c>
      <c r="M147" s="6" t="s">
        <v>152</v>
      </c>
      <c r="N147" s="6" t="s">
        <v>152</v>
      </c>
      <c r="O147" s="6" t="s">
        <v>152</v>
      </c>
      <c r="P147" s="6" t="s">
        <v>152</v>
      </c>
      <c r="Q147" s="6" t="s">
        <v>152</v>
      </c>
      <c r="R147" s="6" t="s">
        <v>152</v>
      </c>
      <c r="S147" s="6" t="s">
        <v>152</v>
      </c>
      <c r="T147" s="6" t="s">
        <v>152</v>
      </c>
      <c r="U147" s="6" t="s">
        <v>152</v>
      </c>
      <c r="V147" s="6" t="s">
        <v>152</v>
      </c>
      <c r="W147" s="6" t="s">
        <v>152</v>
      </c>
      <c r="X147" s="6" t="s">
        <v>152</v>
      </c>
      <c r="Y147" s="6" t="s">
        <v>152</v>
      </c>
      <c r="Z147" s="6" t="s">
        <v>152</v>
      </c>
      <c r="AA147" s="6" t="s">
        <v>152</v>
      </c>
      <c r="AB147" s="9" t="s">
        <v>165</v>
      </c>
      <c r="AC147" s="6" t="s">
        <v>152</v>
      </c>
      <c r="AD147" s="6" t="s">
        <v>152</v>
      </c>
      <c r="AE147" s="6" t="s">
        <v>152</v>
      </c>
      <c r="AF147" s="6" t="s">
        <v>152</v>
      </c>
      <c r="AG147" s="6" t="s">
        <v>152</v>
      </c>
      <c r="AH147" s="6" t="s">
        <v>152</v>
      </c>
      <c r="AI147" s="6" t="s">
        <v>152</v>
      </c>
      <c r="AJ147" s="9" t="s">
        <v>165</v>
      </c>
      <c r="AK147" s="6" t="s">
        <v>152</v>
      </c>
      <c r="AL147" s="6" t="s">
        <v>152</v>
      </c>
      <c r="AM147" s="6" t="s">
        <v>152</v>
      </c>
      <c r="AN147" s="6" t="s">
        <v>152</v>
      </c>
      <c r="AO147" s="6" t="s">
        <v>152</v>
      </c>
      <c r="AP147" s="6" t="s">
        <v>152</v>
      </c>
      <c r="AQ147" s="6" t="s">
        <v>152</v>
      </c>
      <c r="AR147" s="6" t="s">
        <v>152</v>
      </c>
    </row>
    <row r="148" spans="1:44" x14ac:dyDescent="0.2">
      <c r="A148" s="1" t="str">
        <f ca="1">IFERROR(__xludf.DUMMYFUNCTION("""COMPUTED_VALUE"""),"Shocker")</f>
        <v>Shocker</v>
      </c>
      <c r="B148" s="6" t="s">
        <v>152</v>
      </c>
      <c r="C148" s="6" t="s">
        <v>152</v>
      </c>
      <c r="D148" s="6" t="s">
        <v>152</v>
      </c>
      <c r="E148" s="6" t="s">
        <v>152</v>
      </c>
      <c r="F148" s="6" t="s">
        <v>152</v>
      </c>
      <c r="G148" s="6" t="s">
        <v>152</v>
      </c>
      <c r="H148" s="6" t="s">
        <v>152</v>
      </c>
      <c r="I148" s="9" t="s">
        <v>165</v>
      </c>
      <c r="J148" s="6" t="s">
        <v>152</v>
      </c>
      <c r="K148" s="6" t="s">
        <v>152</v>
      </c>
      <c r="L148" s="6" t="s">
        <v>152</v>
      </c>
      <c r="M148" s="6" t="s">
        <v>152</v>
      </c>
      <c r="N148" s="6" t="s">
        <v>152</v>
      </c>
      <c r="O148" s="6" t="s">
        <v>152</v>
      </c>
      <c r="P148" s="6" t="s">
        <v>152</v>
      </c>
      <c r="Q148" s="6" t="s">
        <v>152</v>
      </c>
      <c r="R148" s="6" t="s">
        <v>152</v>
      </c>
      <c r="S148" s="6" t="s">
        <v>152</v>
      </c>
      <c r="T148" s="6" t="s">
        <v>152</v>
      </c>
      <c r="U148" s="6" t="s">
        <v>152</v>
      </c>
      <c r="V148" s="6" t="s">
        <v>152</v>
      </c>
      <c r="W148" s="6" t="s">
        <v>152</v>
      </c>
      <c r="X148" s="6" t="s">
        <v>152</v>
      </c>
      <c r="Y148" s="6" t="s">
        <v>152</v>
      </c>
      <c r="Z148" s="6" t="s">
        <v>152</v>
      </c>
      <c r="AA148" s="6" t="s">
        <v>152</v>
      </c>
      <c r="AB148" s="6" t="s">
        <v>152</v>
      </c>
      <c r="AC148" s="6" t="s">
        <v>152</v>
      </c>
      <c r="AD148" s="6" t="s">
        <v>152</v>
      </c>
      <c r="AE148" s="6" t="s">
        <v>152</v>
      </c>
      <c r="AF148" s="6" t="s">
        <v>152</v>
      </c>
      <c r="AG148" s="6" t="s">
        <v>152</v>
      </c>
      <c r="AH148" s="6" t="s">
        <v>152</v>
      </c>
      <c r="AI148" s="6" t="s">
        <v>152</v>
      </c>
      <c r="AJ148" s="6" t="s">
        <v>152</v>
      </c>
      <c r="AK148" s="9" t="s">
        <v>165</v>
      </c>
      <c r="AL148" s="6" t="s">
        <v>152</v>
      </c>
      <c r="AM148" s="6" t="s">
        <v>152</v>
      </c>
      <c r="AN148" s="6" t="s">
        <v>152</v>
      </c>
      <c r="AO148" s="6" t="s">
        <v>152</v>
      </c>
      <c r="AP148" s="6" t="s">
        <v>152</v>
      </c>
      <c r="AQ148" s="6" t="s">
        <v>152</v>
      </c>
      <c r="AR148" s="6" t="s">
        <v>152</v>
      </c>
    </row>
    <row r="149" spans="1:44" x14ac:dyDescent="0.2">
      <c r="A149" s="1" t="str">
        <f ca="1">IFERROR(__xludf.DUMMYFUNCTION("""COMPUTED_VALUE"""),"Shuri")</f>
        <v>Shuri</v>
      </c>
      <c r="B149" s="9" t="s">
        <v>165</v>
      </c>
      <c r="C149" s="6" t="s">
        <v>152</v>
      </c>
      <c r="D149" s="6" t="s">
        <v>152</v>
      </c>
      <c r="E149" s="6" t="s">
        <v>152</v>
      </c>
      <c r="F149" s="6" t="s">
        <v>152</v>
      </c>
      <c r="G149" s="6" t="s">
        <v>152</v>
      </c>
      <c r="H149" s="6" t="s">
        <v>152</v>
      </c>
      <c r="I149" s="6" t="s">
        <v>152</v>
      </c>
      <c r="J149" s="6" t="s">
        <v>152</v>
      </c>
      <c r="K149" s="6" t="s">
        <v>152</v>
      </c>
      <c r="L149" s="6" t="s">
        <v>152</v>
      </c>
      <c r="M149" s="6" t="s">
        <v>152</v>
      </c>
      <c r="N149" s="6" t="s">
        <v>152</v>
      </c>
      <c r="O149" s="6" t="s">
        <v>152</v>
      </c>
      <c r="P149" s="6" t="s">
        <v>152</v>
      </c>
      <c r="Q149" s="6" t="s">
        <v>152</v>
      </c>
      <c r="R149" s="6" t="s">
        <v>152</v>
      </c>
      <c r="S149" s="6" t="s">
        <v>152</v>
      </c>
      <c r="T149" s="6" t="s">
        <v>152</v>
      </c>
      <c r="U149" s="6" t="s">
        <v>152</v>
      </c>
      <c r="V149" s="6" t="s">
        <v>152</v>
      </c>
      <c r="W149" s="6" t="s">
        <v>152</v>
      </c>
      <c r="X149" s="6" t="s">
        <v>152</v>
      </c>
      <c r="Y149" s="6" t="s">
        <v>152</v>
      </c>
      <c r="Z149" s="6" t="s">
        <v>152</v>
      </c>
      <c r="AA149" s="6" t="s">
        <v>152</v>
      </c>
      <c r="AB149" s="6" t="s">
        <v>152</v>
      </c>
      <c r="AC149" s="6" t="s">
        <v>152</v>
      </c>
      <c r="AD149" s="6" t="s">
        <v>152</v>
      </c>
      <c r="AE149" s="6" t="s">
        <v>152</v>
      </c>
      <c r="AF149" s="6" t="s">
        <v>152</v>
      </c>
      <c r="AG149" s="6" t="s">
        <v>152</v>
      </c>
      <c r="AH149" s="6" t="s">
        <v>152</v>
      </c>
      <c r="AI149" s="6" t="s">
        <v>152</v>
      </c>
      <c r="AJ149" s="6" t="s">
        <v>152</v>
      </c>
      <c r="AK149" s="9" t="s">
        <v>165</v>
      </c>
      <c r="AL149" s="6" t="s">
        <v>152</v>
      </c>
      <c r="AM149" s="6" t="s">
        <v>152</v>
      </c>
      <c r="AN149" s="6" t="s">
        <v>152</v>
      </c>
      <c r="AO149" s="6" t="s">
        <v>152</v>
      </c>
      <c r="AP149" s="6" t="s">
        <v>152</v>
      </c>
      <c r="AQ149" s="6" t="s">
        <v>152</v>
      </c>
      <c r="AR149" s="6" t="s">
        <v>152</v>
      </c>
    </row>
    <row r="150" spans="1:44" x14ac:dyDescent="0.2">
      <c r="A150" s="1" t="str">
        <f ca="1">IFERROR(__xludf.DUMMYFUNCTION("""COMPUTED_VALUE"""),"Silver Surfer")</f>
        <v>Silver Surfer</v>
      </c>
      <c r="B150" s="6" t="s">
        <v>152</v>
      </c>
      <c r="C150" s="6" t="s">
        <v>152</v>
      </c>
      <c r="D150" s="6" t="s">
        <v>152</v>
      </c>
      <c r="E150" s="6" t="s">
        <v>152</v>
      </c>
      <c r="F150" s="6" t="s">
        <v>152</v>
      </c>
      <c r="G150" s="9" t="s">
        <v>165</v>
      </c>
      <c r="H150" s="6" t="s">
        <v>152</v>
      </c>
      <c r="I150" s="6" t="s">
        <v>152</v>
      </c>
      <c r="J150" s="6" t="s">
        <v>152</v>
      </c>
      <c r="K150" s="6" t="s">
        <v>152</v>
      </c>
      <c r="L150" s="6" t="s">
        <v>152</v>
      </c>
      <c r="M150" s="6" t="s">
        <v>152</v>
      </c>
      <c r="N150" s="6" t="s">
        <v>152</v>
      </c>
      <c r="O150" s="6" t="s">
        <v>152</v>
      </c>
      <c r="P150" s="6" t="s">
        <v>152</v>
      </c>
      <c r="Q150" s="6" t="s">
        <v>152</v>
      </c>
      <c r="R150" s="6" t="s">
        <v>152</v>
      </c>
      <c r="S150" s="6" t="s">
        <v>152</v>
      </c>
      <c r="T150" s="6" t="s">
        <v>152</v>
      </c>
      <c r="U150" s="6" t="s">
        <v>152</v>
      </c>
      <c r="V150" s="6" t="s">
        <v>152</v>
      </c>
      <c r="W150" s="6" t="s">
        <v>152</v>
      </c>
      <c r="X150" s="6" t="s">
        <v>152</v>
      </c>
      <c r="Y150" s="6" t="s">
        <v>152</v>
      </c>
      <c r="Z150" s="6" t="s">
        <v>152</v>
      </c>
      <c r="AA150" s="6" t="s">
        <v>152</v>
      </c>
      <c r="AB150" s="6" t="s">
        <v>152</v>
      </c>
      <c r="AC150" s="6" t="s">
        <v>152</v>
      </c>
      <c r="AD150" s="6" t="s">
        <v>152</v>
      </c>
      <c r="AE150" s="6" t="s">
        <v>152</v>
      </c>
      <c r="AF150" s="6" t="s">
        <v>152</v>
      </c>
      <c r="AG150" s="6" t="s">
        <v>152</v>
      </c>
      <c r="AH150" s="6" t="s">
        <v>152</v>
      </c>
      <c r="AI150" s="6" t="s">
        <v>152</v>
      </c>
      <c r="AJ150" s="6" t="s">
        <v>152</v>
      </c>
      <c r="AK150" s="6" t="s">
        <v>152</v>
      </c>
      <c r="AL150" s="6" t="s">
        <v>152</v>
      </c>
      <c r="AM150" s="6" t="s">
        <v>152</v>
      </c>
      <c r="AN150" s="6" t="s">
        <v>152</v>
      </c>
      <c r="AO150" s="6" t="s">
        <v>152</v>
      </c>
      <c r="AP150" s="6" t="s">
        <v>152</v>
      </c>
      <c r="AQ150" s="6" t="s">
        <v>152</v>
      </c>
      <c r="AR150" s="6" t="s">
        <v>152</v>
      </c>
    </row>
    <row r="151" spans="1:44" x14ac:dyDescent="0.2">
      <c r="A151" s="1" t="str">
        <f ca="1">IFERROR(__xludf.DUMMYFUNCTION("""COMPUTED_VALUE"""),"Solvarch")</f>
        <v>Solvarch</v>
      </c>
      <c r="B151" s="6" t="s">
        <v>152</v>
      </c>
      <c r="C151" s="6" t="s">
        <v>152</v>
      </c>
      <c r="D151" s="6" t="s">
        <v>152</v>
      </c>
      <c r="E151" s="6" t="s">
        <v>152</v>
      </c>
      <c r="F151" s="9" t="s">
        <v>165</v>
      </c>
      <c r="G151" s="6" t="s">
        <v>152</v>
      </c>
      <c r="H151" s="6" t="s">
        <v>152</v>
      </c>
      <c r="I151" s="6" t="s">
        <v>152</v>
      </c>
      <c r="J151" s="9" t="s">
        <v>165</v>
      </c>
      <c r="K151" s="6" t="s">
        <v>152</v>
      </c>
      <c r="L151" s="6" t="s">
        <v>152</v>
      </c>
      <c r="M151" s="6" t="s">
        <v>152</v>
      </c>
      <c r="N151" s="6" t="s">
        <v>152</v>
      </c>
      <c r="O151" s="6" t="s">
        <v>152</v>
      </c>
      <c r="P151" s="6" t="s">
        <v>152</v>
      </c>
      <c r="Q151" s="6" t="s">
        <v>152</v>
      </c>
      <c r="R151" s="6" t="s">
        <v>152</v>
      </c>
      <c r="S151" s="6" t="s">
        <v>152</v>
      </c>
      <c r="T151" s="6" t="s">
        <v>152</v>
      </c>
      <c r="U151" s="6" t="s">
        <v>152</v>
      </c>
      <c r="V151" s="6" t="s">
        <v>152</v>
      </c>
      <c r="W151" s="6" t="s">
        <v>152</v>
      </c>
      <c r="X151" s="6" t="s">
        <v>152</v>
      </c>
      <c r="Y151" s="6" t="s">
        <v>152</v>
      </c>
      <c r="Z151" s="6" t="s">
        <v>152</v>
      </c>
      <c r="AA151" s="6" t="s">
        <v>152</v>
      </c>
      <c r="AB151" s="9" t="s">
        <v>165</v>
      </c>
      <c r="AC151" s="6" t="s">
        <v>152</v>
      </c>
      <c r="AD151" s="6" t="s">
        <v>152</v>
      </c>
      <c r="AE151" s="6" t="s">
        <v>152</v>
      </c>
      <c r="AF151" s="6" t="s">
        <v>152</v>
      </c>
      <c r="AG151" s="6" t="s">
        <v>152</v>
      </c>
      <c r="AH151" s="6" t="s">
        <v>152</v>
      </c>
      <c r="AI151" s="6" t="s">
        <v>152</v>
      </c>
      <c r="AJ151" s="6" t="s">
        <v>152</v>
      </c>
      <c r="AK151" s="6" t="s">
        <v>152</v>
      </c>
      <c r="AL151" s="6" t="s">
        <v>152</v>
      </c>
      <c r="AM151" s="6" t="s">
        <v>152</v>
      </c>
      <c r="AN151" s="6" t="s">
        <v>152</v>
      </c>
      <c r="AO151" s="6" t="s">
        <v>152</v>
      </c>
      <c r="AP151" s="6" t="s">
        <v>152</v>
      </c>
      <c r="AQ151" s="6" t="s">
        <v>152</v>
      </c>
      <c r="AR151" s="6" t="s">
        <v>152</v>
      </c>
    </row>
    <row r="152" spans="1:44" x14ac:dyDescent="0.2">
      <c r="A152" s="1" t="str">
        <f ca="1">IFERROR(__xludf.DUMMYFUNCTION("""COMPUTED_VALUE"""),"Sorcerer Supreme")</f>
        <v>Sorcerer Supreme</v>
      </c>
      <c r="B152" s="6" t="s">
        <v>152</v>
      </c>
      <c r="C152" s="6" t="s">
        <v>152</v>
      </c>
      <c r="D152" s="6" t="s">
        <v>152</v>
      </c>
      <c r="E152" s="6" t="s">
        <v>152</v>
      </c>
      <c r="F152" s="6" t="s">
        <v>152</v>
      </c>
      <c r="G152" s="6" t="s">
        <v>152</v>
      </c>
      <c r="H152" s="6" t="s">
        <v>152</v>
      </c>
      <c r="I152" s="6" t="s">
        <v>152</v>
      </c>
      <c r="J152" s="6" t="s">
        <v>152</v>
      </c>
      <c r="K152" s="6" t="s">
        <v>152</v>
      </c>
      <c r="L152" s="6" t="s">
        <v>152</v>
      </c>
      <c r="M152" s="6" t="s">
        <v>152</v>
      </c>
      <c r="N152" s="6" t="s">
        <v>152</v>
      </c>
      <c r="O152" s="6" t="s">
        <v>152</v>
      </c>
      <c r="P152" s="9" t="s">
        <v>165</v>
      </c>
      <c r="Q152" s="6" t="s">
        <v>152</v>
      </c>
      <c r="R152" s="6" t="s">
        <v>152</v>
      </c>
      <c r="S152" s="6" t="s">
        <v>152</v>
      </c>
      <c r="T152" s="6" t="s">
        <v>152</v>
      </c>
      <c r="U152" s="6" t="s">
        <v>152</v>
      </c>
      <c r="V152" s="6" t="s">
        <v>152</v>
      </c>
      <c r="W152" s="6" t="s">
        <v>152</v>
      </c>
      <c r="X152" s="6" t="s">
        <v>152</v>
      </c>
      <c r="Y152" s="6" t="s">
        <v>152</v>
      </c>
      <c r="Z152" s="9" t="s">
        <v>165</v>
      </c>
      <c r="AA152" s="6" t="s">
        <v>152</v>
      </c>
      <c r="AB152" s="6" t="s">
        <v>152</v>
      </c>
      <c r="AC152" s="6" t="s">
        <v>152</v>
      </c>
      <c r="AD152" s="6" t="s">
        <v>152</v>
      </c>
      <c r="AE152" s="6" t="s">
        <v>152</v>
      </c>
      <c r="AF152" s="6" t="s">
        <v>152</v>
      </c>
      <c r="AG152" s="6" t="s">
        <v>152</v>
      </c>
      <c r="AH152" s="6" t="s">
        <v>152</v>
      </c>
      <c r="AI152" s="6" t="s">
        <v>152</v>
      </c>
      <c r="AJ152" s="6" t="s">
        <v>152</v>
      </c>
      <c r="AK152" s="6" t="s">
        <v>152</v>
      </c>
      <c r="AL152" s="6" t="s">
        <v>152</v>
      </c>
      <c r="AM152" s="6" t="s">
        <v>152</v>
      </c>
      <c r="AN152" s="6" t="s">
        <v>152</v>
      </c>
      <c r="AO152" s="6" t="s">
        <v>152</v>
      </c>
      <c r="AP152" s="6" t="s">
        <v>152</v>
      </c>
      <c r="AQ152" s="6" t="s">
        <v>152</v>
      </c>
      <c r="AR152" s="6" t="s">
        <v>152</v>
      </c>
    </row>
    <row r="153" spans="1:44" x14ac:dyDescent="0.2">
      <c r="A153" s="1" t="str">
        <f ca="1">IFERROR(__xludf.DUMMYFUNCTION("""COMPUTED_VALUE"""),"Spider Man 2099")</f>
        <v>Spider Man 2099</v>
      </c>
      <c r="B153" s="6" t="s">
        <v>152</v>
      </c>
      <c r="C153" s="6" t="s">
        <v>152</v>
      </c>
      <c r="D153" s="6" t="s">
        <v>152</v>
      </c>
      <c r="E153" s="6" t="s">
        <v>152</v>
      </c>
      <c r="F153" s="6" t="s">
        <v>152</v>
      </c>
      <c r="G153" s="9" t="s">
        <v>165</v>
      </c>
      <c r="H153" s="6" t="s">
        <v>152</v>
      </c>
      <c r="I153" s="6" t="s">
        <v>152</v>
      </c>
      <c r="J153" s="6" t="s">
        <v>152</v>
      </c>
      <c r="K153" s="6" t="s">
        <v>152</v>
      </c>
      <c r="L153" s="6" t="s">
        <v>152</v>
      </c>
      <c r="M153" s="6" t="s">
        <v>152</v>
      </c>
      <c r="N153" s="6" t="s">
        <v>152</v>
      </c>
      <c r="O153" s="6" t="s">
        <v>152</v>
      </c>
      <c r="P153" s="6" t="s">
        <v>152</v>
      </c>
      <c r="Q153" s="6" t="s">
        <v>152</v>
      </c>
      <c r="R153" s="6" t="s">
        <v>152</v>
      </c>
      <c r="S153" s="6" t="s">
        <v>152</v>
      </c>
      <c r="T153" s="6" t="s">
        <v>152</v>
      </c>
      <c r="U153" s="6" t="s">
        <v>152</v>
      </c>
      <c r="V153" s="6" t="s">
        <v>152</v>
      </c>
      <c r="W153" s="6" t="s">
        <v>152</v>
      </c>
      <c r="X153" s="6" t="s">
        <v>152</v>
      </c>
      <c r="Y153" s="6" t="s">
        <v>152</v>
      </c>
      <c r="Z153" s="6" t="s">
        <v>152</v>
      </c>
      <c r="AA153" s="6" t="s">
        <v>152</v>
      </c>
      <c r="AB153" s="6" t="s">
        <v>152</v>
      </c>
      <c r="AC153" s="6" t="s">
        <v>152</v>
      </c>
      <c r="AD153" s="6" t="s">
        <v>152</v>
      </c>
      <c r="AE153" s="6" t="s">
        <v>152</v>
      </c>
      <c r="AF153" s="6" t="s">
        <v>152</v>
      </c>
      <c r="AG153" s="6" t="s">
        <v>152</v>
      </c>
      <c r="AH153" s="6" t="s">
        <v>152</v>
      </c>
      <c r="AI153" s="6" t="s">
        <v>152</v>
      </c>
      <c r="AJ153" s="6" t="s">
        <v>152</v>
      </c>
      <c r="AK153" s="6" t="s">
        <v>152</v>
      </c>
      <c r="AL153" s="6" t="s">
        <v>152</v>
      </c>
      <c r="AM153" s="6" t="s">
        <v>152</v>
      </c>
      <c r="AN153" s="6" t="s">
        <v>152</v>
      </c>
      <c r="AO153" s="6" t="s">
        <v>152</v>
      </c>
      <c r="AP153" s="6" t="s">
        <v>152</v>
      </c>
      <c r="AQ153" s="6" t="s">
        <v>152</v>
      </c>
      <c r="AR153" s="6" t="s">
        <v>152</v>
      </c>
    </row>
    <row r="154" spans="1:44" x14ac:dyDescent="0.2">
      <c r="A154" s="1" t="str">
        <f ca="1">IFERROR(__xludf.DUMMYFUNCTION("""COMPUTED_VALUE"""),"Spider-Man (Supreme)")</f>
        <v>Spider-Man (Supreme)</v>
      </c>
      <c r="B154" s="6" t="s">
        <v>152</v>
      </c>
      <c r="C154" s="6" t="s">
        <v>152</v>
      </c>
      <c r="D154" s="6" t="s">
        <v>152</v>
      </c>
      <c r="E154" s="6" t="s">
        <v>152</v>
      </c>
      <c r="F154" s="6" t="s">
        <v>152</v>
      </c>
      <c r="G154" s="6" t="s">
        <v>152</v>
      </c>
      <c r="H154" s="6" t="s">
        <v>152</v>
      </c>
      <c r="I154" s="6" t="s">
        <v>152</v>
      </c>
      <c r="J154" s="6" t="s">
        <v>152</v>
      </c>
      <c r="K154" s="6" t="s">
        <v>152</v>
      </c>
      <c r="L154" s="6" t="s">
        <v>152</v>
      </c>
      <c r="M154" s="6" t="s">
        <v>152</v>
      </c>
      <c r="N154" s="6" t="s">
        <v>152</v>
      </c>
      <c r="O154" s="6" t="s">
        <v>152</v>
      </c>
      <c r="P154" s="6" t="s">
        <v>152</v>
      </c>
      <c r="Q154" s="6" t="s">
        <v>152</v>
      </c>
      <c r="R154" s="6" t="s">
        <v>152</v>
      </c>
      <c r="S154" s="6" t="s">
        <v>152</v>
      </c>
      <c r="T154" s="6" t="s">
        <v>152</v>
      </c>
      <c r="U154" s="6" t="s">
        <v>152</v>
      </c>
      <c r="V154" s="6" t="s">
        <v>152</v>
      </c>
      <c r="W154" s="6" t="s">
        <v>152</v>
      </c>
      <c r="X154" s="9" t="s">
        <v>165</v>
      </c>
      <c r="Y154" s="6" t="s">
        <v>152</v>
      </c>
      <c r="Z154" s="6" t="s">
        <v>152</v>
      </c>
      <c r="AA154" s="6" t="s">
        <v>152</v>
      </c>
      <c r="AB154" s="6" t="s">
        <v>152</v>
      </c>
      <c r="AC154" s="6" t="s">
        <v>152</v>
      </c>
      <c r="AD154" s="6" t="s">
        <v>152</v>
      </c>
      <c r="AE154" s="6" t="s">
        <v>152</v>
      </c>
      <c r="AF154" s="6" t="s">
        <v>152</v>
      </c>
      <c r="AG154" s="6" t="s">
        <v>152</v>
      </c>
      <c r="AH154" s="6" t="s">
        <v>152</v>
      </c>
      <c r="AI154" s="6" t="s">
        <v>152</v>
      </c>
      <c r="AJ154" s="6" t="s">
        <v>152</v>
      </c>
      <c r="AK154" s="6" t="s">
        <v>152</v>
      </c>
      <c r="AL154" s="6" t="s">
        <v>152</v>
      </c>
      <c r="AM154" s="9" t="s">
        <v>165</v>
      </c>
      <c r="AN154" s="6" t="s">
        <v>152</v>
      </c>
      <c r="AO154" s="6" t="s">
        <v>152</v>
      </c>
      <c r="AP154" s="6" t="s">
        <v>152</v>
      </c>
      <c r="AQ154" s="6" t="s">
        <v>152</v>
      </c>
      <c r="AR154" s="6" t="s">
        <v>152</v>
      </c>
    </row>
    <row r="155" spans="1:44" x14ac:dyDescent="0.2">
      <c r="A155" s="1" t="str">
        <f ca="1">IFERROR(__xludf.DUMMYFUNCTION("""COMPUTED_VALUE"""),"Spider-Punk")</f>
        <v>Spider-Punk</v>
      </c>
      <c r="B155" s="6" t="s">
        <v>152</v>
      </c>
      <c r="C155" s="6" t="s">
        <v>152</v>
      </c>
      <c r="D155" s="6" t="s">
        <v>152</v>
      </c>
      <c r="E155" s="6" t="s">
        <v>152</v>
      </c>
      <c r="F155" s="6" t="s">
        <v>152</v>
      </c>
      <c r="G155" s="6" t="s">
        <v>152</v>
      </c>
      <c r="H155" s="6" t="s">
        <v>152</v>
      </c>
      <c r="I155" s="9" t="s">
        <v>165</v>
      </c>
      <c r="J155" s="6" t="s">
        <v>152</v>
      </c>
      <c r="K155" s="6" t="s">
        <v>152</v>
      </c>
      <c r="L155" s="6" t="s">
        <v>152</v>
      </c>
      <c r="M155" s="6" t="s">
        <v>152</v>
      </c>
      <c r="N155" s="6" t="s">
        <v>152</v>
      </c>
      <c r="O155" s="6" t="s">
        <v>152</v>
      </c>
      <c r="P155" s="6" t="s">
        <v>152</v>
      </c>
      <c r="Q155" s="6" t="s">
        <v>152</v>
      </c>
      <c r="R155" s="6" t="s">
        <v>152</v>
      </c>
      <c r="S155" s="6" t="s">
        <v>152</v>
      </c>
      <c r="T155" s="6" t="s">
        <v>152</v>
      </c>
      <c r="U155" s="6" t="s">
        <v>152</v>
      </c>
      <c r="V155" s="6" t="s">
        <v>152</v>
      </c>
      <c r="W155" s="6" t="s">
        <v>152</v>
      </c>
      <c r="X155" s="6" t="s">
        <v>152</v>
      </c>
      <c r="Y155" s="6" t="s">
        <v>152</v>
      </c>
      <c r="Z155" s="6" t="s">
        <v>152</v>
      </c>
      <c r="AA155" s="6" t="s">
        <v>152</v>
      </c>
      <c r="AB155" s="6" t="s">
        <v>152</v>
      </c>
      <c r="AC155" s="6" t="s">
        <v>152</v>
      </c>
      <c r="AD155" s="6" t="s">
        <v>152</v>
      </c>
      <c r="AE155" s="6" t="s">
        <v>152</v>
      </c>
      <c r="AF155" s="6" t="s">
        <v>152</v>
      </c>
      <c r="AG155" s="6" t="s">
        <v>152</v>
      </c>
      <c r="AH155" s="6" t="s">
        <v>152</v>
      </c>
      <c r="AI155" s="9" t="s">
        <v>165</v>
      </c>
      <c r="AJ155" s="9" t="s">
        <v>165</v>
      </c>
      <c r="AK155" s="6" t="s">
        <v>152</v>
      </c>
      <c r="AL155" s="6" t="s">
        <v>152</v>
      </c>
      <c r="AM155" s="6" t="s">
        <v>152</v>
      </c>
      <c r="AN155" s="6" t="s">
        <v>152</v>
      </c>
      <c r="AO155" s="6" t="s">
        <v>152</v>
      </c>
      <c r="AP155" s="6" t="s">
        <v>152</v>
      </c>
      <c r="AQ155" s="6" t="s">
        <v>152</v>
      </c>
      <c r="AR155" s="6" t="s">
        <v>152</v>
      </c>
    </row>
    <row r="156" spans="1:44" x14ac:dyDescent="0.2">
      <c r="A156" s="1" t="str">
        <f ca="1">IFERROR(__xludf.DUMMYFUNCTION("""COMPUTED_VALUE"""),"Spider-Slayer (J. Jonah Jameson)")</f>
        <v>Spider-Slayer (J. Jonah Jameson)</v>
      </c>
      <c r="B156" s="6" t="s">
        <v>152</v>
      </c>
      <c r="C156" s="6" t="s">
        <v>152</v>
      </c>
      <c r="D156" s="6" t="s">
        <v>152</v>
      </c>
      <c r="E156" s="6" t="s">
        <v>152</v>
      </c>
      <c r="F156" s="9" t="s">
        <v>165</v>
      </c>
      <c r="G156" s="6" t="s">
        <v>152</v>
      </c>
      <c r="H156" s="6" t="s">
        <v>152</v>
      </c>
      <c r="I156" s="6" t="s">
        <v>152</v>
      </c>
      <c r="J156" s="6" t="s">
        <v>152</v>
      </c>
      <c r="K156" s="6" t="s">
        <v>152</v>
      </c>
      <c r="L156" s="6" t="s">
        <v>152</v>
      </c>
      <c r="M156" s="6" t="s">
        <v>152</v>
      </c>
      <c r="N156" s="6" t="s">
        <v>152</v>
      </c>
      <c r="O156" s="6" t="s">
        <v>152</v>
      </c>
      <c r="P156" s="6" t="s">
        <v>152</v>
      </c>
      <c r="Q156" s="6" t="s">
        <v>152</v>
      </c>
      <c r="R156" s="6" t="s">
        <v>152</v>
      </c>
      <c r="S156" s="6" t="s">
        <v>152</v>
      </c>
      <c r="T156" s="6" t="s">
        <v>152</v>
      </c>
      <c r="U156" s="6" t="s">
        <v>152</v>
      </c>
      <c r="V156" s="6" t="s">
        <v>152</v>
      </c>
      <c r="W156" s="6" t="s">
        <v>152</v>
      </c>
      <c r="X156" s="6" t="s">
        <v>152</v>
      </c>
      <c r="Y156" s="6" t="s">
        <v>152</v>
      </c>
      <c r="Z156" s="6" t="s">
        <v>152</v>
      </c>
      <c r="AA156" s="6" t="s">
        <v>152</v>
      </c>
      <c r="AB156" s="9" t="s">
        <v>165</v>
      </c>
      <c r="AC156" s="6" t="s">
        <v>152</v>
      </c>
      <c r="AD156" s="6" t="s">
        <v>152</v>
      </c>
      <c r="AE156" s="6" t="s">
        <v>152</v>
      </c>
      <c r="AF156" s="6" t="s">
        <v>152</v>
      </c>
      <c r="AG156" s="6" t="s">
        <v>152</v>
      </c>
      <c r="AH156" s="6" t="s">
        <v>152</v>
      </c>
      <c r="AI156" s="6" t="s">
        <v>152</v>
      </c>
      <c r="AJ156" s="6" t="s">
        <v>152</v>
      </c>
      <c r="AK156" s="6" t="s">
        <v>152</v>
      </c>
      <c r="AL156" s="6" t="s">
        <v>152</v>
      </c>
      <c r="AM156" s="6" t="s">
        <v>152</v>
      </c>
      <c r="AN156" s="6" t="s">
        <v>152</v>
      </c>
      <c r="AO156" s="6" t="s">
        <v>152</v>
      </c>
      <c r="AP156" s="6" t="s">
        <v>152</v>
      </c>
      <c r="AQ156" s="6" t="s">
        <v>152</v>
      </c>
      <c r="AR156" s="6" t="s">
        <v>152</v>
      </c>
    </row>
    <row r="157" spans="1:44" x14ac:dyDescent="0.2">
      <c r="A157" s="1" t="str">
        <f ca="1">IFERROR(__xludf.DUMMYFUNCTION("""COMPUTED_VALUE"""),"Spider-Woman")</f>
        <v>Spider-Woman</v>
      </c>
      <c r="B157" s="6" t="s">
        <v>152</v>
      </c>
      <c r="C157" s="6" t="s">
        <v>152</v>
      </c>
      <c r="D157" s="6" t="s">
        <v>152</v>
      </c>
      <c r="E157" s="6" t="s">
        <v>152</v>
      </c>
      <c r="F157" s="6" t="s">
        <v>152</v>
      </c>
      <c r="G157" s="6" t="s">
        <v>152</v>
      </c>
      <c r="H157" s="6" t="s">
        <v>152</v>
      </c>
      <c r="I157" s="6" t="s">
        <v>152</v>
      </c>
      <c r="J157" s="6" t="s">
        <v>152</v>
      </c>
      <c r="K157" s="6" t="s">
        <v>152</v>
      </c>
      <c r="L157" s="6" t="s">
        <v>152</v>
      </c>
      <c r="M157" s="6" t="s">
        <v>152</v>
      </c>
      <c r="N157" s="6" t="s">
        <v>152</v>
      </c>
      <c r="O157" s="6" t="s">
        <v>152</v>
      </c>
      <c r="P157" s="6" t="s">
        <v>152</v>
      </c>
      <c r="Q157" s="6" t="s">
        <v>152</v>
      </c>
      <c r="R157" s="6" t="s">
        <v>152</v>
      </c>
      <c r="S157" s="6" t="s">
        <v>152</v>
      </c>
      <c r="T157" s="6" t="s">
        <v>152</v>
      </c>
      <c r="U157" s="6" t="s">
        <v>152</v>
      </c>
      <c r="V157" s="6" t="s">
        <v>152</v>
      </c>
      <c r="W157" s="6" t="s">
        <v>152</v>
      </c>
      <c r="X157" s="9" t="s">
        <v>165</v>
      </c>
      <c r="Y157" s="6" t="s">
        <v>152</v>
      </c>
      <c r="Z157" s="6" t="s">
        <v>152</v>
      </c>
      <c r="AA157" s="6" t="s">
        <v>152</v>
      </c>
      <c r="AB157" s="9" t="s">
        <v>165</v>
      </c>
      <c r="AC157" s="6" t="s">
        <v>152</v>
      </c>
      <c r="AD157" s="6" t="s">
        <v>152</v>
      </c>
      <c r="AE157" s="6" t="s">
        <v>152</v>
      </c>
      <c r="AF157" s="9" t="s">
        <v>165</v>
      </c>
      <c r="AG157" s="6" t="s">
        <v>152</v>
      </c>
      <c r="AH157" s="6" t="s">
        <v>152</v>
      </c>
      <c r="AI157" s="6" t="s">
        <v>152</v>
      </c>
      <c r="AJ157" s="6" t="s">
        <v>152</v>
      </c>
      <c r="AK157" s="6" t="s">
        <v>152</v>
      </c>
      <c r="AL157" s="6" t="s">
        <v>152</v>
      </c>
      <c r="AM157" s="6" t="s">
        <v>152</v>
      </c>
      <c r="AN157" s="6" t="s">
        <v>152</v>
      </c>
      <c r="AO157" s="6" t="s">
        <v>152</v>
      </c>
      <c r="AP157" s="6" t="s">
        <v>152</v>
      </c>
      <c r="AQ157" s="6" t="s">
        <v>152</v>
      </c>
      <c r="AR157" s="6" t="s">
        <v>152</v>
      </c>
    </row>
    <row r="158" spans="1:44" x14ac:dyDescent="0.2">
      <c r="A158" s="1" t="str">
        <f ca="1">IFERROR(__xludf.DUMMYFUNCTION("""COMPUTED_VALUE"""),"Spiral")</f>
        <v>Spiral</v>
      </c>
      <c r="B158" s="6" t="s">
        <v>152</v>
      </c>
      <c r="C158" s="6" t="s">
        <v>152</v>
      </c>
      <c r="D158" s="6" t="s">
        <v>152</v>
      </c>
      <c r="E158" s="6" t="s">
        <v>152</v>
      </c>
      <c r="F158" s="6" t="s">
        <v>152</v>
      </c>
      <c r="G158" s="6" t="s">
        <v>152</v>
      </c>
      <c r="H158" s="6" t="s">
        <v>152</v>
      </c>
      <c r="I158" s="6" t="s">
        <v>152</v>
      </c>
      <c r="J158" s="6" t="s">
        <v>152</v>
      </c>
      <c r="K158" s="6" t="s">
        <v>152</v>
      </c>
      <c r="L158" s="6" t="s">
        <v>152</v>
      </c>
      <c r="M158" s="6" t="s">
        <v>152</v>
      </c>
      <c r="N158" s="6" t="s">
        <v>152</v>
      </c>
      <c r="O158" s="9" t="s">
        <v>165</v>
      </c>
      <c r="P158" s="6" t="s">
        <v>152</v>
      </c>
      <c r="Q158" s="6" t="s">
        <v>152</v>
      </c>
      <c r="R158" s="6" t="s">
        <v>152</v>
      </c>
      <c r="S158" s="6" t="s">
        <v>152</v>
      </c>
      <c r="T158" s="6" t="s">
        <v>152</v>
      </c>
      <c r="U158" s="6" t="s">
        <v>152</v>
      </c>
      <c r="V158" s="6" t="s">
        <v>152</v>
      </c>
      <c r="W158" s="6" t="s">
        <v>152</v>
      </c>
      <c r="X158" s="6" t="s">
        <v>152</v>
      </c>
      <c r="Y158" s="6" t="s">
        <v>152</v>
      </c>
      <c r="Z158" s="6" t="s">
        <v>152</v>
      </c>
      <c r="AA158" s="6" t="s">
        <v>152</v>
      </c>
      <c r="AB158" s="6" t="s">
        <v>152</v>
      </c>
      <c r="AC158" s="6" t="s">
        <v>152</v>
      </c>
      <c r="AD158" s="6" t="s">
        <v>152</v>
      </c>
      <c r="AE158" s="6" t="s">
        <v>152</v>
      </c>
      <c r="AF158" s="6" t="s">
        <v>152</v>
      </c>
      <c r="AG158" s="6" t="s">
        <v>152</v>
      </c>
      <c r="AH158" s="6" t="s">
        <v>152</v>
      </c>
      <c r="AI158" s="9" t="s">
        <v>165</v>
      </c>
      <c r="AJ158" s="6" t="s">
        <v>152</v>
      </c>
      <c r="AK158" s="6" t="s">
        <v>152</v>
      </c>
      <c r="AL158" s="6" t="s">
        <v>152</v>
      </c>
      <c r="AM158" s="6" t="s">
        <v>152</v>
      </c>
      <c r="AN158" s="6" t="s">
        <v>152</v>
      </c>
      <c r="AO158" s="6" t="s">
        <v>152</v>
      </c>
      <c r="AP158" s="6" t="s">
        <v>152</v>
      </c>
      <c r="AQ158" s="6" t="s">
        <v>152</v>
      </c>
      <c r="AR158" s="6" t="s">
        <v>152</v>
      </c>
    </row>
    <row r="159" spans="1:44" x14ac:dyDescent="0.2">
      <c r="A159" s="1" t="str">
        <f ca="1">IFERROR(__xludf.DUMMYFUNCTION("""COMPUTED_VALUE"""),"Spot")</f>
        <v>Spot</v>
      </c>
      <c r="B159" s="6" t="s">
        <v>152</v>
      </c>
      <c r="C159" s="6" t="s">
        <v>152</v>
      </c>
      <c r="D159" s="6" t="s">
        <v>152</v>
      </c>
      <c r="E159" s="6" t="s">
        <v>152</v>
      </c>
      <c r="F159" s="6" t="s">
        <v>152</v>
      </c>
      <c r="G159" s="9" t="s">
        <v>165</v>
      </c>
      <c r="H159" s="6" t="s">
        <v>152</v>
      </c>
      <c r="I159" s="6" t="s">
        <v>152</v>
      </c>
      <c r="J159" s="6" t="s">
        <v>152</v>
      </c>
      <c r="K159" s="6" t="s">
        <v>152</v>
      </c>
      <c r="L159" s="6" t="s">
        <v>152</v>
      </c>
      <c r="M159" s="6" t="s">
        <v>152</v>
      </c>
      <c r="N159" s="6" t="s">
        <v>152</v>
      </c>
      <c r="O159" s="6" t="s">
        <v>152</v>
      </c>
      <c r="P159" s="6" t="s">
        <v>152</v>
      </c>
      <c r="Q159" s="6" t="s">
        <v>152</v>
      </c>
      <c r="R159" s="6" t="s">
        <v>152</v>
      </c>
      <c r="S159" s="6" t="s">
        <v>152</v>
      </c>
      <c r="T159" s="6" t="s">
        <v>152</v>
      </c>
      <c r="U159" s="6" t="s">
        <v>152</v>
      </c>
      <c r="V159" s="6" t="s">
        <v>152</v>
      </c>
      <c r="W159" s="6" t="s">
        <v>152</v>
      </c>
      <c r="X159" s="6" t="s">
        <v>152</v>
      </c>
      <c r="Y159" s="6" t="s">
        <v>152</v>
      </c>
      <c r="Z159" s="6" t="s">
        <v>152</v>
      </c>
      <c r="AA159" s="6" t="s">
        <v>152</v>
      </c>
      <c r="AB159" s="6" t="s">
        <v>152</v>
      </c>
      <c r="AC159" s="6" t="s">
        <v>152</v>
      </c>
      <c r="AD159" s="6" t="s">
        <v>152</v>
      </c>
      <c r="AE159" s="6" t="s">
        <v>152</v>
      </c>
      <c r="AF159" s="6" t="s">
        <v>152</v>
      </c>
      <c r="AG159" s="6" t="s">
        <v>152</v>
      </c>
      <c r="AH159" s="6" t="s">
        <v>152</v>
      </c>
      <c r="AI159" s="6" t="s">
        <v>152</v>
      </c>
      <c r="AJ159" s="6" t="s">
        <v>152</v>
      </c>
      <c r="AK159" s="6" t="s">
        <v>152</v>
      </c>
      <c r="AL159" s="6" t="s">
        <v>152</v>
      </c>
      <c r="AM159" s="6" t="s">
        <v>152</v>
      </c>
      <c r="AN159" s="6" t="s">
        <v>152</v>
      </c>
      <c r="AO159" s="6" t="s">
        <v>152</v>
      </c>
      <c r="AP159" s="9" t="s">
        <v>165</v>
      </c>
      <c r="AQ159" s="6" t="s">
        <v>152</v>
      </c>
      <c r="AR159" s="6" t="s">
        <v>152</v>
      </c>
    </row>
    <row r="160" spans="1:44" x14ac:dyDescent="0.2">
      <c r="A160" s="1" t="str">
        <f ca="1">IFERROR(__xludf.DUMMYFUNCTION("""COMPUTED_VALUE"""),"Storm")</f>
        <v>Storm</v>
      </c>
      <c r="B160" s="6" t="s">
        <v>152</v>
      </c>
      <c r="C160" s="6" t="s">
        <v>152</v>
      </c>
      <c r="D160" s="6" t="s">
        <v>152</v>
      </c>
      <c r="E160" s="6" t="s">
        <v>152</v>
      </c>
      <c r="F160" s="6" t="s">
        <v>152</v>
      </c>
      <c r="G160" s="6" t="s">
        <v>152</v>
      </c>
      <c r="H160" s="9" t="s">
        <v>165</v>
      </c>
      <c r="I160" s="6" t="s">
        <v>152</v>
      </c>
      <c r="J160" s="6" t="s">
        <v>152</v>
      </c>
      <c r="K160" s="6" t="s">
        <v>152</v>
      </c>
      <c r="L160" s="6" t="s">
        <v>152</v>
      </c>
      <c r="M160" s="6" t="s">
        <v>152</v>
      </c>
      <c r="N160" s="6" t="s">
        <v>152</v>
      </c>
      <c r="O160" s="6" t="s">
        <v>152</v>
      </c>
      <c r="P160" s="6" t="s">
        <v>152</v>
      </c>
      <c r="Q160" s="6" t="s">
        <v>152</v>
      </c>
      <c r="R160" s="6" t="s">
        <v>152</v>
      </c>
      <c r="S160" s="6" t="s">
        <v>152</v>
      </c>
      <c r="T160" s="9" t="s">
        <v>165</v>
      </c>
      <c r="U160" s="6" t="s">
        <v>152</v>
      </c>
      <c r="V160" s="6" t="s">
        <v>152</v>
      </c>
      <c r="W160" s="6" t="s">
        <v>152</v>
      </c>
      <c r="X160" s="6" t="s">
        <v>152</v>
      </c>
      <c r="Y160" s="6" t="s">
        <v>152</v>
      </c>
      <c r="Z160" s="6" t="s">
        <v>152</v>
      </c>
      <c r="AA160" s="6" t="s">
        <v>152</v>
      </c>
      <c r="AB160" s="6" t="s">
        <v>152</v>
      </c>
      <c r="AC160" s="6" t="s">
        <v>152</v>
      </c>
      <c r="AD160" s="6" t="s">
        <v>152</v>
      </c>
      <c r="AE160" s="6" t="s">
        <v>152</v>
      </c>
      <c r="AF160" s="6" t="s">
        <v>152</v>
      </c>
      <c r="AG160" s="6" t="s">
        <v>152</v>
      </c>
      <c r="AH160" s="6" t="s">
        <v>152</v>
      </c>
      <c r="AI160" s="6" t="s">
        <v>152</v>
      </c>
      <c r="AJ160" s="6" t="s">
        <v>152</v>
      </c>
      <c r="AK160" s="9" t="s">
        <v>165</v>
      </c>
      <c r="AL160" s="6" t="s">
        <v>152</v>
      </c>
      <c r="AM160" s="6" t="s">
        <v>152</v>
      </c>
      <c r="AN160" s="6" t="s">
        <v>152</v>
      </c>
      <c r="AO160" s="6" t="s">
        <v>152</v>
      </c>
      <c r="AP160" s="6" t="s">
        <v>152</v>
      </c>
      <c r="AQ160" s="6" t="s">
        <v>152</v>
      </c>
      <c r="AR160" s="6" t="s">
        <v>152</v>
      </c>
    </row>
    <row r="161" spans="1:44" x14ac:dyDescent="0.2">
      <c r="A161" s="1" t="str">
        <f ca="1">IFERROR(__xludf.DUMMYFUNCTION("""COMPUTED_VALUE"""),"Storm (Pyramid X)")</f>
        <v>Storm (Pyramid X)</v>
      </c>
      <c r="B161" s="6" t="s">
        <v>152</v>
      </c>
      <c r="C161" s="6" t="s">
        <v>152</v>
      </c>
      <c r="D161" s="6" t="s">
        <v>152</v>
      </c>
      <c r="E161" s="6" t="s">
        <v>152</v>
      </c>
      <c r="F161" s="6" t="s">
        <v>152</v>
      </c>
      <c r="G161" s="6" t="s">
        <v>152</v>
      </c>
      <c r="H161" s="9" t="s">
        <v>165</v>
      </c>
      <c r="I161" s="6" t="s">
        <v>152</v>
      </c>
      <c r="J161" s="6" t="s">
        <v>152</v>
      </c>
      <c r="K161" s="6" t="s">
        <v>152</v>
      </c>
      <c r="L161" s="6" t="s">
        <v>152</v>
      </c>
      <c r="M161" s="6" t="s">
        <v>152</v>
      </c>
      <c r="N161" s="6" t="s">
        <v>152</v>
      </c>
      <c r="O161" s="6" t="s">
        <v>152</v>
      </c>
      <c r="P161" s="6" t="s">
        <v>152</v>
      </c>
      <c r="Q161" s="6" t="s">
        <v>152</v>
      </c>
      <c r="R161" s="9" t="s">
        <v>165</v>
      </c>
      <c r="S161" s="6" t="s">
        <v>152</v>
      </c>
      <c r="T161" s="9" t="s">
        <v>165</v>
      </c>
      <c r="U161" s="6" t="s">
        <v>152</v>
      </c>
      <c r="V161" s="6" t="s">
        <v>152</v>
      </c>
      <c r="W161" s="6" t="s">
        <v>152</v>
      </c>
      <c r="X161" s="6" t="s">
        <v>152</v>
      </c>
      <c r="Y161" s="6" t="s">
        <v>152</v>
      </c>
      <c r="Z161" s="6" t="s">
        <v>152</v>
      </c>
      <c r="AA161" s="6" t="s">
        <v>152</v>
      </c>
      <c r="AB161" s="6" t="s">
        <v>152</v>
      </c>
      <c r="AC161" s="6" t="s">
        <v>152</v>
      </c>
      <c r="AD161" s="6" t="s">
        <v>152</v>
      </c>
      <c r="AE161" s="6" t="s">
        <v>152</v>
      </c>
      <c r="AF161" s="6" t="s">
        <v>152</v>
      </c>
      <c r="AG161" s="6" t="s">
        <v>152</v>
      </c>
      <c r="AH161" s="6" t="s">
        <v>152</v>
      </c>
      <c r="AI161" s="6" t="s">
        <v>152</v>
      </c>
      <c r="AJ161" s="6" t="s">
        <v>152</v>
      </c>
      <c r="AK161" s="6" t="s">
        <v>152</v>
      </c>
      <c r="AL161" s="6" t="s">
        <v>152</v>
      </c>
      <c r="AM161" s="6" t="s">
        <v>152</v>
      </c>
      <c r="AN161" s="6" t="s">
        <v>152</v>
      </c>
      <c r="AO161" s="6" t="s">
        <v>152</v>
      </c>
      <c r="AP161" s="6" t="s">
        <v>152</v>
      </c>
      <c r="AQ161" s="6" t="s">
        <v>152</v>
      </c>
      <c r="AR161" s="6" t="s">
        <v>152</v>
      </c>
    </row>
    <row r="162" spans="1:44" x14ac:dyDescent="0.2">
      <c r="A162" s="1" t="str">
        <f ca="1">IFERROR(__xludf.DUMMYFUNCTION("""COMPUTED_VALUE"""),"Sunspot")</f>
        <v>Sunspot</v>
      </c>
      <c r="B162" s="6" t="s">
        <v>152</v>
      </c>
      <c r="C162" s="6" t="s">
        <v>152</v>
      </c>
      <c r="D162" s="6" t="s">
        <v>152</v>
      </c>
      <c r="E162" s="6" t="s">
        <v>152</v>
      </c>
      <c r="F162" s="6" t="s">
        <v>152</v>
      </c>
      <c r="G162" s="6" t="s">
        <v>152</v>
      </c>
      <c r="H162" s="6" t="s">
        <v>152</v>
      </c>
      <c r="I162" s="6" t="s">
        <v>152</v>
      </c>
      <c r="J162" s="6" t="s">
        <v>152</v>
      </c>
      <c r="K162" s="6" t="s">
        <v>152</v>
      </c>
      <c r="L162" s="6" t="s">
        <v>152</v>
      </c>
      <c r="M162" s="6" t="s">
        <v>152</v>
      </c>
      <c r="N162" s="6" t="s">
        <v>152</v>
      </c>
      <c r="O162" s="6" t="s">
        <v>152</v>
      </c>
      <c r="P162" s="6" t="s">
        <v>152</v>
      </c>
      <c r="Q162" s="6" t="s">
        <v>152</v>
      </c>
      <c r="R162" s="6" t="s">
        <v>152</v>
      </c>
      <c r="S162" s="6" t="s">
        <v>152</v>
      </c>
      <c r="T162" s="9" t="s">
        <v>165</v>
      </c>
      <c r="U162" s="6" t="s">
        <v>152</v>
      </c>
      <c r="V162" s="6" t="s">
        <v>152</v>
      </c>
      <c r="W162" s="6" t="s">
        <v>152</v>
      </c>
      <c r="X162" s="6" t="s">
        <v>152</v>
      </c>
      <c r="Y162" s="6" t="s">
        <v>152</v>
      </c>
      <c r="Z162" s="6" t="s">
        <v>152</v>
      </c>
      <c r="AA162" s="6" t="s">
        <v>152</v>
      </c>
      <c r="AB162" s="6" t="s">
        <v>152</v>
      </c>
      <c r="AC162" s="6" t="s">
        <v>152</v>
      </c>
      <c r="AD162" s="6" t="s">
        <v>152</v>
      </c>
      <c r="AE162" s="6" t="s">
        <v>152</v>
      </c>
      <c r="AF162" s="6" t="s">
        <v>152</v>
      </c>
      <c r="AG162" s="6" t="s">
        <v>152</v>
      </c>
      <c r="AH162" s="6" t="s">
        <v>152</v>
      </c>
      <c r="AI162" s="6" t="s">
        <v>152</v>
      </c>
      <c r="AJ162" s="6" t="s">
        <v>152</v>
      </c>
      <c r="AK162" s="6" t="s">
        <v>152</v>
      </c>
      <c r="AL162" s="6" t="s">
        <v>152</v>
      </c>
      <c r="AM162" s="6" t="s">
        <v>152</v>
      </c>
      <c r="AN162" s="6" t="s">
        <v>152</v>
      </c>
      <c r="AO162" s="6" t="s">
        <v>152</v>
      </c>
      <c r="AP162" s="6" t="s">
        <v>152</v>
      </c>
      <c r="AQ162" s="6" t="s">
        <v>152</v>
      </c>
      <c r="AR162" s="6" t="s">
        <v>152</v>
      </c>
    </row>
    <row r="163" spans="1:44" x14ac:dyDescent="0.2">
      <c r="A163" s="1" t="str">
        <f ca="1">IFERROR(__xludf.DUMMYFUNCTION("""COMPUTED_VALUE"""),"Super-Skrull")</f>
        <v>Super-Skrull</v>
      </c>
      <c r="B163" s="6" t="s">
        <v>152</v>
      </c>
      <c r="C163" s="6" t="s">
        <v>152</v>
      </c>
      <c r="D163" s="6" t="s">
        <v>152</v>
      </c>
      <c r="E163" s="6" t="s">
        <v>152</v>
      </c>
      <c r="F163" s="6" t="s">
        <v>152</v>
      </c>
      <c r="G163" s="6" t="s">
        <v>152</v>
      </c>
      <c r="H163" s="6" t="s">
        <v>152</v>
      </c>
      <c r="I163" s="6" t="s">
        <v>152</v>
      </c>
      <c r="J163" s="6" t="s">
        <v>152</v>
      </c>
      <c r="K163" s="6" t="s">
        <v>152</v>
      </c>
      <c r="L163" s="6" t="s">
        <v>152</v>
      </c>
      <c r="M163" s="6" t="s">
        <v>152</v>
      </c>
      <c r="N163" s="6" t="s">
        <v>152</v>
      </c>
      <c r="O163" s="6" t="s">
        <v>152</v>
      </c>
      <c r="P163" s="6" t="s">
        <v>152</v>
      </c>
      <c r="Q163" s="6" t="s">
        <v>152</v>
      </c>
      <c r="R163" s="6" t="s">
        <v>152</v>
      </c>
      <c r="S163" s="6" t="s">
        <v>152</v>
      </c>
      <c r="T163" s="9" t="s">
        <v>165</v>
      </c>
      <c r="U163" s="6" t="s">
        <v>152</v>
      </c>
      <c r="V163" s="6" t="s">
        <v>152</v>
      </c>
      <c r="W163" s="6" t="s">
        <v>152</v>
      </c>
      <c r="X163" s="6" t="s">
        <v>152</v>
      </c>
      <c r="Y163" s="6" t="s">
        <v>152</v>
      </c>
      <c r="Z163" s="6" t="s">
        <v>152</v>
      </c>
      <c r="AA163" s="6" t="s">
        <v>152</v>
      </c>
      <c r="AB163" s="6" t="s">
        <v>152</v>
      </c>
      <c r="AC163" s="6" t="s">
        <v>152</v>
      </c>
      <c r="AD163" s="6" t="s">
        <v>152</v>
      </c>
      <c r="AE163" s="6" t="s">
        <v>152</v>
      </c>
      <c r="AF163" s="6" t="s">
        <v>152</v>
      </c>
      <c r="AG163" s="6" t="s">
        <v>152</v>
      </c>
      <c r="AH163" s="6" t="s">
        <v>152</v>
      </c>
      <c r="AI163" s="6" t="s">
        <v>152</v>
      </c>
      <c r="AJ163" s="6" t="s">
        <v>152</v>
      </c>
      <c r="AK163" s="9" t="s">
        <v>165</v>
      </c>
      <c r="AL163" s="6" t="s">
        <v>152</v>
      </c>
      <c r="AM163" s="6" t="s">
        <v>152</v>
      </c>
      <c r="AN163" s="6" t="s">
        <v>152</v>
      </c>
      <c r="AO163" s="6" t="s">
        <v>152</v>
      </c>
      <c r="AP163" s="6" t="s">
        <v>152</v>
      </c>
      <c r="AQ163" s="6" t="s">
        <v>152</v>
      </c>
      <c r="AR163" s="6" t="s">
        <v>152</v>
      </c>
    </row>
    <row r="164" spans="1:44" x14ac:dyDescent="0.2">
      <c r="A164" s="1" t="str">
        <f ca="1">IFERROR(__xludf.DUMMYFUNCTION("""COMPUTED_VALUE"""),"Terrax")</f>
        <v>Terrax</v>
      </c>
      <c r="B164" s="6" t="s">
        <v>152</v>
      </c>
      <c r="C164" s="6" t="s">
        <v>152</v>
      </c>
      <c r="D164" s="6" t="s">
        <v>152</v>
      </c>
      <c r="E164" s="6" t="s">
        <v>152</v>
      </c>
      <c r="F164" s="9" t="s">
        <v>165</v>
      </c>
      <c r="G164" s="6" t="s">
        <v>152</v>
      </c>
      <c r="H164" s="6" t="s">
        <v>152</v>
      </c>
      <c r="I164" s="6" t="s">
        <v>152</v>
      </c>
      <c r="J164" s="6" t="s">
        <v>152</v>
      </c>
      <c r="K164" s="6" t="s">
        <v>152</v>
      </c>
      <c r="L164" s="6" t="s">
        <v>152</v>
      </c>
      <c r="M164" s="6" t="s">
        <v>152</v>
      </c>
      <c r="N164" s="6" t="s">
        <v>152</v>
      </c>
      <c r="O164" s="6" t="s">
        <v>152</v>
      </c>
      <c r="P164" s="6" t="s">
        <v>152</v>
      </c>
      <c r="Q164" s="6" t="s">
        <v>152</v>
      </c>
      <c r="R164" s="6" t="s">
        <v>152</v>
      </c>
      <c r="S164" s="6" t="s">
        <v>152</v>
      </c>
      <c r="T164" s="6" t="s">
        <v>152</v>
      </c>
      <c r="U164" s="6" t="s">
        <v>152</v>
      </c>
      <c r="V164" s="6" t="s">
        <v>152</v>
      </c>
      <c r="W164" s="6" t="s">
        <v>152</v>
      </c>
      <c r="X164" s="6" t="s">
        <v>152</v>
      </c>
      <c r="Y164" s="6" t="s">
        <v>152</v>
      </c>
      <c r="Z164" s="6" t="s">
        <v>152</v>
      </c>
      <c r="AA164" s="6" t="s">
        <v>152</v>
      </c>
      <c r="AB164" s="6" t="s">
        <v>152</v>
      </c>
      <c r="AC164" s="6" t="s">
        <v>152</v>
      </c>
      <c r="AD164" s="6" t="s">
        <v>152</v>
      </c>
      <c r="AE164" s="6" t="s">
        <v>152</v>
      </c>
      <c r="AF164" s="6" t="s">
        <v>152</v>
      </c>
      <c r="AG164" s="6" t="s">
        <v>152</v>
      </c>
      <c r="AH164" s="6" t="s">
        <v>152</v>
      </c>
      <c r="AI164" s="6" t="s">
        <v>152</v>
      </c>
      <c r="AJ164" s="6" t="s">
        <v>152</v>
      </c>
      <c r="AK164" s="9" t="s">
        <v>165</v>
      </c>
      <c r="AL164" s="6" t="s">
        <v>152</v>
      </c>
      <c r="AM164" s="6" t="s">
        <v>152</v>
      </c>
      <c r="AN164" s="6" t="s">
        <v>152</v>
      </c>
      <c r="AO164" s="6" t="s">
        <v>152</v>
      </c>
      <c r="AP164" s="6" t="s">
        <v>152</v>
      </c>
      <c r="AQ164" s="6" t="s">
        <v>152</v>
      </c>
      <c r="AR164" s="6" t="s">
        <v>152</v>
      </c>
    </row>
    <row r="165" spans="1:44" x14ac:dyDescent="0.2">
      <c r="A165" s="1" t="str">
        <f ca="1">IFERROR(__xludf.DUMMYFUNCTION("""COMPUTED_VALUE"""),"Thanos (Deathless)")</f>
        <v>Thanos (Deathless)</v>
      </c>
      <c r="B165" s="6" t="s">
        <v>152</v>
      </c>
      <c r="C165" s="6" t="s">
        <v>152</v>
      </c>
      <c r="D165" s="6" t="s">
        <v>152</v>
      </c>
      <c r="E165" s="6" t="s">
        <v>152</v>
      </c>
      <c r="F165" s="6" t="s">
        <v>152</v>
      </c>
      <c r="G165" s="6" t="s">
        <v>152</v>
      </c>
      <c r="H165" s="9" t="s">
        <v>165</v>
      </c>
      <c r="I165" s="6" t="s">
        <v>152</v>
      </c>
      <c r="J165" s="6" t="s">
        <v>152</v>
      </c>
      <c r="K165" s="6" t="s">
        <v>152</v>
      </c>
      <c r="L165" s="6" t="s">
        <v>152</v>
      </c>
      <c r="M165" s="6" t="s">
        <v>152</v>
      </c>
      <c r="N165" s="6" t="s">
        <v>152</v>
      </c>
      <c r="O165" s="6" t="s">
        <v>152</v>
      </c>
      <c r="P165" s="6" t="s">
        <v>152</v>
      </c>
      <c r="Q165" s="6" t="s">
        <v>152</v>
      </c>
      <c r="R165" s="9" t="s">
        <v>165</v>
      </c>
      <c r="S165" s="6" t="s">
        <v>152</v>
      </c>
      <c r="T165" s="6" t="s">
        <v>152</v>
      </c>
      <c r="U165" s="6" t="s">
        <v>152</v>
      </c>
      <c r="V165" s="6" t="s">
        <v>152</v>
      </c>
      <c r="W165" s="6" t="s">
        <v>152</v>
      </c>
      <c r="X165" s="6" t="s">
        <v>152</v>
      </c>
      <c r="Y165" s="6" t="s">
        <v>152</v>
      </c>
      <c r="Z165" s="6" t="s">
        <v>152</v>
      </c>
      <c r="AA165" s="6" t="s">
        <v>152</v>
      </c>
      <c r="AB165" s="9" t="s">
        <v>165</v>
      </c>
      <c r="AC165" s="9" t="s">
        <v>165</v>
      </c>
      <c r="AD165" s="9" t="s">
        <v>165</v>
      </c>
      <c r="AE165" s="6" t="s">
        <v>152</v>
      </c>
      <c r="AF165" s="6" t="s">
        <v>152</v>
      </c>
      <c r="AG165" s="6" t="s">
        <v>152</v>
      </c>
      <c r="AH165" s="6" t="s">
        <v>152</v>
      </c>
      <c r="AI165" s="9" t="s">
        <v>165</v>
      </c>
      <c r="AJ165" s="9" t="s">
        <v>165</v>
      </c>
      <c r="AK165" s="6" t="s">
        <v>152</v>
      </c>
      <c r="AL165" s="6" t="s">
        <v>152</v>
      </c>
      <c r="AM165" s="6" t="s">
        <v>152</v>
      </c>
      <c r="AN165" s="6" t="s">
        <v>152</v>
      </c>
      <c r="AO165" s="6" t="s">
        <v>152</v>
      </c>
      <c r="AP165" s="6" t="s">
        <v>152</v>
      </c>
      <c r="AQ165" s="6" t="s">
        <v>152</v>
      </c>
      <c r="AR165" s="6" t="s">
        <v>152</v>
      </c>
    </row>
    <row r="166" spans="1:44" x14ac:dyDescent="0.2">
      <c r="A166" s="1" t="str">
        <f ca="1">IFERROR(__xludf.DUMMYFUNCTION("""COMPUTED_VALUE"""),"The Champion")</f>
        <v>The Champion</v>
      </c>
      <c r="B166" s="6" t="s">
        <v>152</v>
      </c>
      <c r="C166" s="6" t="s">
        <v>152</v>
      </c>
      <c r="D166" s="6" t="s">
        <v>152</v>
      </c>
      <c r="E166" s="6" t="s">
        <v>152</v>
      </c>
      <c r="F166" s="6" t="s">
        <v>152</v>
      </c>
      <c r="G166" s="6" t="s">
        <v>152</v>
      </c>
      <c r="H166" s="6" t="s">
        <v>152</v>
      </c>
      <c r="I166" s="6" t="s">
        <v>152</v>
      </c>
      <c r="J166" s="6" t="s">
        <v>152</v>
      </c>
      <c r="K166" s="6" t="s">
        <v>152</v>
      </c>
      <c r="L166" s="6" t="s">
        <v>152</v>
      </c>
      <c r="M166" s="6" t="s">
        <v>152</v>
      </c>
      <c r="N166" s="6" t="s">
        <v>152</v>
      </c>
      <c r="O166" s="6" t="s">
        <v>152</v>
      </c>
      <c r="P166" s="9" t="s">
        <v>165</v>
      </c>
      <c r="Q166" s="6" t="s">
        <v>152</v>
      </c>
      <c r="R166" s="6" t="s">
        <v>152</v>
      </c>
      <c r="S166" s="9" t="s">
        <v>165</v>
      </c>
      <c r="T166" s="6" t="s">
        <v>152</v>
      </c>
      <c r="U166" s="6" t="s">
        <v>152</v>
      </c>
      <c r="V166" s="6" t="s">
        <v>152</v>
      </c>
      <c r="W166" s="6" t="s">
        <v>152</v>
      </c>
      <c r="X166" s="6" t="s">
        <v>152</v>
      </c>
      <c r="Y166" s="6" t="s">
        <v>152</v>
      </c>
      <c r="Z166" s="6" t="s">
        <v>152</v>
      </c>
      <c r="AA166" s="9" t="s">
        <v>165</v>
      </c>
      <c r="AB166" s="6" t="s">
        <v>152</v>
      </c>
      <c r="AC166" s="6" t="s">
        <v>152</v>
      </c>
      <c r="AD166" s="6" t="s">
        <v>152</v>
      </c>
      <c r="AE166" s="6" t="s">
        <v>152</v>
      </c>
      <c r="AF166" s="6" t="s">
        <v>152</v>
      </c>
      <c r="AG166" s="6" t="s">
        <v>152</v>
      </c>
      <c r="AH166" s="6" t="s">
        <v>152</v>
      </c>
      <c r="AI166" s="6" t="s">
        <v>152</v>
      </c>
      <c r="AJ166" s="6" t="s">
        <v>152</v>
      </c>
      <c r="AK166" s="6" t="s">
        <v>152</v>
      </c>
      <c r="AL166" s="6" t="s">
        <v>152</v>
      </c>
      <c r="AM166" s="6" t="s">
        <v>152</v>
      </c>
      <c r="AN166" s="6" t="s">
        <v>152</v>
      </c>
      <c r="AO166" s="6" t="s">
        <v>152</v>
      </c>
      <c r="AP166" s="6" t="s">
        <v>152</v>
      </c>
      <c r="AQ166" s="6" t="s">
        <v>152</v>
      </c>
      <c r="AR166" s="6" t="s">
        <v>152</v>
      </c>
    </row>
    <row r="167" spans="1:44" x14ac:dyDescent="0.2">
      <c r="A167" s="1" t="str">
        <f ca="1">IFERROR(__xludf.DUMMYFUNCTION("""COMPUTED_VALUE"""),"The Destroyer")</f>
        <v>The Destroyer</v>
      </c>
      <c r="B167" s="6" t="s">
        <v>152</v>
      </c>
      <c r="C167" s="9" t="s">
        <v>165</v>
      </c>
      <c r="D167" s="6" t="s">
        <v>152</v>
      </c>
      <c r="E167" s="6" t="s">
        <v>152</v>
      </c>
      <c r="F167" s="9" t="s">
        <v>165</v>
      </c>
      <c r="G167" s="6" t="s">
        <v>152</v>
      </c>
      <c r="H167" s="6" t="s">
        <v>152</v>
      </c>
      <c r="I167" s="6" t="s">
        <v>152</v>
      </c>
      <c r="J167" s="6" t="s">
        <v>152</v>
      </c>
      <c r="K167" s="6" t="s">
        <v>152</v>
      </c>
      <c r="L167" s="6" t="s">
        <v>152</v>
      </c>
      <c r="M167" s="6" t="s">
        <v>152</v>
      </c>
      <c r="N167" s="6" t="s">
        <v>152</v>
      </c>
      <c r="O167" s="6" t="s">
        <v>152</v>
      </c>
      <c r="P167" s="6" t="s">
        <v>152</v>
      </c>
      <c r="Q167" s="6" t="s">
        <v>152</v>
      </c>
      <c r="R167" s="6" t="s">
        <v>152</v>
      </c>
      <c r="S167" s="6" t="s">
        <v>152</v>
      </c>
      <c r="T167" s="6" t="s">
        <v>152</v>
      </c>
      <c r="U167" s="9" t="s">
        <v>165</v>
      </c>
      <c r="V167" s="9" t="s">
        <v>165</v>
      </c>
      <c r="W167" s="6" t="s">
        <v>152</v>
      </c>
      <c r="X167" s="6" t="s">
        <v>152</v>
      </c>
      <c r="Y167" s="6" t="s">
        <v>152</v>
      </c>
      <c r="Z167" s="6" t="s">
        <v>152</v>
      </c>
      <c r="AA167" s="6" t="s">
        <v>152</v>
      </c>
      <c r="AB167" s="9" t="s">
        <v>165</v>
      </c>
      <c r="AC167" s="6" t="s">
        <v>152</v>
      </c>
      <c r="AD167" s="6" t="s">
        <v>152</v>
      </c>
      <c r="AE167" s="6" t="s">
        <v>152</v>
      </c>
      <c r="AF167" s="6" t="s">
        <v>152</v>
      </c>
      <c r="AG167" s="6" t="s">
        <v>152</v>
      </c>
      <c r="AH167" s="6" t="s">
        <v>152</v>
      </c>
      <c r="AI167" s="6" t="s">
        <v>152</v>
      </c>
      <c r="AJ167" s="6" t="s">
        <v>152</v>
      </c>
      <c r="AK167" s="6" t="s">
        <v>152</v>
      </c>
      <c r="AL167" s="9" t="s">
        <v>165</v>
      </c>
      <c r="AM167" s="6" t="s">
        <v>152</v>
      </c>
      <c r="AN167" s="6" t="s">
        <v>152</v>
      </c>
      <c r="AO167" s="6" t="s">
        <v>152</v>
      </c>
      <c r="AP167" s="6" t="s">
        <v>152</v>
      </c>
      <c r="AQ167" s="6" t="s">
        <v>152</v>
      </c>
      <c r="AR167" s="6" t="s">
        <v>152</v>
      </c>
    </row>
    <row r="168" spans="1:44" x14ac:dyDescent="0.2">
      <c r="A168" s="1" t="str">
        <f ca="1">IFERROR(__xludf.DUMMYFUNCTION("""COMPUTED_VALUE"""),"The Hood")</f>
        <v>The Hood</v>
      </c>
      <c r="B168" s="6" t="s">
        <v>152</v>
      </c>
      <c r="C168" s="6" t="s">
        <v>152</v>
      </c>
      <c r="D168" s="6" t="s">
        <v>152</v>
      </c>
      <c r="E168" s="6" t="s">
        <v>152</v>
      </c>
      <c r="F168" s="9" t="s">
        <v>165</v>
      </c>
      <c r="G168" s="6" t="s">
        <v>152</v>
      </c>
      <c r="H168" s="6" t="s">
        <v>152</v>
      </c>
      <c r="I168" s="6" t="s">
        <v>152</v>
      </c>
      <c r="J168" s="6" t="s">
        <v>152</v>
      </c>
      <c r="K168" s="6" t="s">
        <v>152</v>
      </c>
      <c r="L168" s="6" t="s">
        <v>152</v>
      </c>
      <c r="M168" s="6" t="s">
        <v>152</v>
      </c>
      <c r="N168" s="6" t="s">
        <v>152</v>
      </c>
      <c r="O168" s="6" t="s">
        <v>152</v>
      </c>
      <c r="P168" s="6" t="s">
        <v>152</v>
      </c>
      <c r="Q168" s="6" t="s">
        <v>152</v>
      </c>
      <c r="R168" s="6" t="s">
        <v>152</v>
      </c>
      <c r="S168" s="6" t="s">
        <v>152</v>
      </c>
      <c r="T168" s="6" t="s">
        <v>152</v>
      </c>
      <c r="U168" s="6" t="s">
        <v>152</v>
      </c>
      <c r="V168" s="6" t="s">
        <v>152</v>
      </c>
      <c r="W168" s="6" t="s">
        <v>152</v>
      </c>
      <c r="X168" s="6" t="s">
        <v>152</v>
      </c>
      <c r="Y168" s="6" t="s">
        <v>152</v>
      </c>
      <c r="Z168" s="6" t="s">
        <v>152</v>
      </c>
      <c r="AA168" s="6" t="s">
        <v>152</v>
      </c>
      <c r="AB168" s="6" t="s">
        <v>152</v>
      </c>
      <c r="AC168" s="6" t="s">
        <v>152</v>
      </c>
      <c r="AD168" s="6" t="s">
        <v>152</v>
      </c>
      <c r="AE168" s="6" t="s">
        <v>152</v>
      </c>
      <c r="AF168" s="6" t="s">
        <v>152</v>
      </c>
      <c r="AG168" s="6" t="s">
        <v>152</v>
      </c>
      <c r="AH168" s="6" t="s">
        <v>152</v>
      </c>
      <c r="AI168" s="6" t="s">
        <v>152</v>
      </c>
      <c r="AJ168" s="6" t="s">
        <v>152</v>
      </c>
      <c r="AK168" s="6" t="s">
        <v>152</v>
      </c>
      <c r="AL168" s="6" t="s">
        <v>152</v>
      </c>
      <c r="AM168" s="6" t="s">
        <v>152</v>
      </c>
      <c r="AN168" s="6" t="s">
        <v>152</v>
      </c>
      <c r="AO168" s="6" t="s">
        <v>152</v>
      </c>
      <c r="AP168" s="9" t="s">
        <v>165</v>
      </c>
      <c r="AQ168" s="6" t="s">
        <v>152</v>
      </c>
      <c r="AR168" s="6" t="s">
        <v>152</v>
      </c>
    </row>
    <row r="169" spans="1:44" x14ac:dyDescent="0.2">
      <c r="A169" s="1" t="str">
        <f ca="1">IFERROR(__xludf.DUMMYFUNCTION("""COMPUTED_VALUE"""),"The Leader")</f>
        <v>The Leader</v>
      </c>
      <c r="B169" s="6" t="s">
        <v>152</v>
      </c>
      <c r="C169" s="6" t="s">
        <v>152</v>
      </c>
      <c r="D169" s="6" t="s">
        <v>152</v>
      </c>
      <c r="E169" s="6" t="s">
        <v>152</v>
      </c>
      <c r="F169" s="6" t="s">
        <v>152</v>
      </c>
      <c r="G169" s="6" t="s">
        <v>152</v>
      </c>
      <c r="H169" s="6" t="s">
        <v>152</v>
      </c>
      <c r="I169" s="6" t="s">
        <v>152</v>
      </c>
      <c r="J169" s="6" t="s">
        <v>152</v>
      </c>
      <c r="K169" s="6" t="s">
        <v>152</v>
      </c>
      <c r="L169" s="6" t="s">
        <v>152</v>
      </c>
      <c r="M169" s="6" t="s">
        <v>152</v>
      </c>
      <c r="N169" s="6" t="s">
        <v>152</v>
      </c>
      <c r="O169" s="6" t="s">
        <v>152</v>
      </c>
      <c r="P169" s="6" t="s">
        <v>152</v>
      </c>
      <c r="Q169" s="6" t="s">
        <v>152</v>
      </c>
      <c r="R169" s="6" t="s">
        <v>152</v>
      </c>
      <c r="S169" s="6" t="s">
        <v>152</v>
      </c>
      <c r="T169" s="6" t="s">
        <v>152</v>
      </c>
      <c r="U169" s="6" t="s">
        <v>152</v>
      </c>
      <c r="V169" s="6" t="s">
        <v>152</v>
      </c>
      <c r="W169" s="6" t="s">
        <v>152</v>
      </c>
      <c r="X169" s="6" t="s">
        <v>152</v>
      </c>
      <c r="Y169" s="6" t="s">
        <v>152</v>
      </c>
      <c r="Z169" s="6" t="s">
        <v>152</v>
      </c>
      <c r="AA169" s="6" t="s">
        <v>152</v>
      </c>
      <c r="AB169" s="9" t="s">
        <v>165</v>
      </c>
      <c r="AC169" s="6" t="s">
        <v>152</v>
      </c>
      <c r="AD169" s="6" t="s">
        <v>152</v>
      </c>
      <c r="AE169" s="6" t="s">
        <v>152</v>
      </c>
      <c r="AF169" s="6" t="s">
        <v>152</v>
      </c>
      <c r="AG169" s="6" t="s">
        <v>152</v>
      </c>
      <c r="AH169" s="6" t="s">
        <v>152</v>
      </c>
      <c r="AI169" s="6" t="s">
        <v>152</v>
      </c>
      <c r="AJ169" s="6" t="s">
        <v>152</v>
      </c>
      <c r="AK169" s="6" t="s">
        <v>152</v>
      </c>
      <c r="AL169" s="6" t="s">
        <v>152</v>
      </c>
      <c r="AM169" s="6" t="s">
        <v>152</v>
      </c>
      <c r="AN169" s="6" t="s">
        <v>152</v>
      </c>
      <c r="AO169" s="6" t="s">
        <v>152</v>
      </c>
      <c r="AP169" s="6" t="s">
        <v>152</v>
      </c>
      <c r="AQ169" s="6" t="s">
        <v>152</v>
      </c>
      <c r="AR169" s="6" t="s">
        <v>152</v>
      </c>
    </row>
    <row r="170" spans="1:44" x14ac:dyDescent="0.2">
      <c r="A170" s="1" t="str">
        <f ca="1">IFERROR(__xludf.DUMMYFUNCTION("""COMPUTED_VALUE"""),"The Maker")</f>
        <v>The Maker</v>
      </c>
      <c r="B170" s="6" t="s">
        <v>152</v>
      </c>
      <c r="C170" s="6" t="s">
        <v>152</v>
      </c>
      <c r="D170" s="6" t="s">
        <v>152</v>
      </c>
      <c r="E170" s="6" t="s">
        <v>152</v>
      </c>
      <c r="F170" s="6" t="s">
        <v>152</v>
      </c>
      <c r="G170" s="6" t="s">
        <v>152</v>
      </c>
      <c r="H170" s="6" t="s">
        <v>152</v>
      </c>
      <c r="I170" s="6" t="s">
        <v>152</v>
      </c>
      <c r="J170" s="6" t="s">
        <v>152</v>
      </c>
      <c r="K170" s="6" t="s">
        <v>152</v>
      </c>
      <c r="L170" s="6" t="s">
        <v>152</v>
      </c>
      <c r="M170" s="6" t="s">
        <v>152</v>
      </c>
      <c r="N170" s="6" t="s">
        <v>152</v>
      </c>
      <c r="O170" s="6" t="s">
        <v>152</v>
      </c>
      <c r="P170" s="6" t="s">
        <v>152</v>
      </c>
      <c r="Q170" s="6" t="s">
        <v>152</v>
      </c>
      <c r="R170" s="6" t="s">
        <v>152</v>
      </c>
      <c r="S170" s="6" t="s">
        <v>152</v>
      </c>
      <c r="T170" s="6" t="s">
        <v>152</v>
      </c>
      <c r="U170" s="6" t="s">
        <v>152</v>
      </c>
      <c r="V170" s="6" t="s">
        <v>152</v>
      </c>
      <c r="W170" s="9" t="s">
        <v>165</v>
      </c>
      <c r="X170" s="6" t="s">
        <v>152</v>
      </c>
      <c r="Y170" s="6" t="s">
        <v>152</v>
      </c>
      <c r="Z170" s="6" t="s">
        <v>152</v>
      </c>
      <c r="AA170" s="6" t="s">
        <v>152</v>
      </c>
      <c r="AB170" s="6" t="s">
        <v>152</v>
      </c>
      <c r="AC170" s="6" t="s">
        <v>152</v>
      </c>
      <c r="AD170" s="6" t="s">
        <v>152</v>
      </c>
      <c r="AE170" s="6" t="s">
        <v>152</v>
      </c>
      <c r="AF170" s="6" t="s">
        <v>152</v>
      </c>
      <c r="AG170" s="6" t="s">
        <v>152</v>
      </c>
      <c r="AH170" s="6" t="s">
        <v>152</v>
      </c>
      <c r="AI170" s="9" t="s">
        <v>165</v>
      </c>
      <c r="AJ170" s="6" t="s">
        <v>152</v>
      </c>
      <c r="AK170" s="6" t="s">
        <v>152</v>
      </c>
      <c r="AL170" s="6" t="s">
        <v>152</v>
      </c>
      <c r="AM170" s="6" t="s">
        <v>152</v>
      </c>
      <c r="AN170" s="6" t="s">
        <v>152</v>
      </c>
      <c r="AO170" s="6" t="s">
        <v>152</v>
      </c>
      <c r="AP170" s="6" t="s">
        <v>152</v>
      </c>
      <c r="AQ170" s="6" t="s">
        <v>152</v>
      </c>
      <c r="AR170" s="6" t="s">
        <v>152</v>
      </c>
    </row>
    <row r="171" spans="1:44" x14ac:dyDescent="0.2">
      <c r="A171" s="1" t="str">
        <f ca="1">IFERROR(__xludf.DUMMYFUNCTION("""COMPUTED_VALUE"""),"The Overseer")</f>
        <v>The Overseer</v>
      </c>
      <c r="B171" s="6" t="s">
        <v>152</v>
      </c>
      <c r="C171" s="6" t="s">
        <v>152</v>
      </c>
      <c r="D171" s="6" t="s">
        <v>152</v>
      </c>
      <c r="E171" s="6" t="s">
        <v>152</v>
      </c>
      <c r="F171" s="6" t="s">
        <v>152</v>
      </c>
      <c r="G171" s="6" t="s">
        <v>152</v>
      </c>
      <c r="H171" s="6" t="s">
        <v>152</v>
      </c>
      <c r="I171" s="6" t="s">
        <v>152</v>
      </c>
      <c r="J171" s="6" t="s">
        <v>152</v>
      </c>
      <c r="K171" s="6" t="s">
        <v>152</v>
      </c>
      <c r="L171" s="6" t="s">
        <v>152</v>
      </c>
      <c r="M171" s="6" t="s">
        <v>152</v>
      </c>
      <c r="N171" s="6" t="s">
        <v>152</v>
      </c>
      <c r="O171" s="6" t="s">
        <v>152</v>
      </c>
      <c r="P171" s="9" t="s">
        <v>165</v>
      </c>
      <c r="Q171" s="6" t="s">
        <v>152</v>
      </c>
      <c r="R171" s="6" t="s">
        <v>152</v>
      </c>
      <c r="S171" s="6" t="s">
        <v>152</v>
      </c>
      <c r="T171" s="6" t="s">
        <v>152</v>
      </c>
      <c r="U171" s="6" t="s">
        <v>152</v>
      </c>
      <c r="V171" s="6" t="s">
        <v>152</v>
      </c>
      <c r="W171" s="6" t="s">
        <v>152</v>
      </c>
      <c r="X171" s="9" t="s">
        <v>165</v>
      </c>
      <c r="Y171" s="6" t="s">
        <v>152</v>
      </c>
      <c r="Z171" s="9" t="s">
        <v>165</v>
      </c>
      <c r="AA171" s="6" t="s">
        <v>152</v>
      </c>
      <c r="AB171" s="9" t="s">
        <v>165</v>
      </c>
      <c r="AC171" s="6" t="s">
        <v>152</v>
      </c>
      <c r="AD171" s="6" t="s">
        <v>152</v>
      </c>
      <c r="AE171" s="6" t="s">
        <v>152</v>
      </c>
      <c r="AF171" s="6" t="s">
        <v>152</v>
      </c>
      <c r="AG171" s="6" t="s">
        <v>152</v>
      </c>
      <c r="AH171" s="6" t="s">
        <v>152</v>
      </c>
      <c r="AI171" s="9" t="s">
        <v>165</v>
      </c>
      <c r="AJ171" s="6" t="s">
        <v>152</v>
      </c>
      <c r="AK171" s="6" t="s">
        <v>152</v>
      </c>
      <c r="AL171" s="6" t="s">
        <v>152</v>
      </c>
      <c r="AM171" s="6" t="s">
        <v>152</v>
      </c>
      <c r="AN171" s="6" t="s">
        <v>152</v>
      </c>
      <c r="AO171" s="9" t="s">
        <v>165</v>
      </c>
      <c r="AP171" s="6" t="s">
        <v>152</v>
      </c>
      <c r="AQ171" s="6" t="s">
        <v>152</v>
      </c>
      <c r="AR171" s="6" t="s">
        <v>152</v>
      </c>
    </row>
    <row r="172" spans="1:44" x14ac:dyDescent="0.2">
      <c r="A172" s="1" t="str">
        <f ca="1">IFERROR(__xludf.DUMMYFUNCTION("""COMPUTED_VALUE"""),"The Serpent")</f>
        <v>The Serpent</v>
      </c>
      <c r="B172" s="6" t="s">
        <v>152</v>
      </c>
      <c r="C172" s="6" t="s">
        <v>152</v>
      </c>
      <c r="D172" s="6" t="s">
        <v>152</v>
      </c>
      <c r="E172" s="6" t="s">
        <v>152</v>
      </c>
      <c r="F172" s="6" t="s">
        <v>152</v>
      </c>
      <c r="G172" s="6" t="s">
        <v>152</v>
      </c>
      <c r="H172" s="9" t="s">
        <v>165</v>
      </c>
      <c r="I172" s="6" t="s">
        <v>152</v>
      </c>
      <c r="J172" s="6" t="s">
        <v>152</v>
      </c>
      <c r="K172" s="9" t="s">
        <v>165</v>
      </c>
      <c r="L172" s="6" t="s">
        <v>152</v>
      </c>
      <c r="M172" s="6" t="s">
        <v>152</v>
      </c>
      <c r="N172" s="6" t="s">
        <v>152</v>
      </c>
      <c r="O172" s="6" t="s">
        <v>152</v>
      </c>
      <c r="P172" s="9" t="s">
        <v>165</v>
      </c>
      <c r="Q172" s="6" t="s">
        <v>152</v>
      </c>
      <c r="R172" s="6" t="s">
        <v>152</v>
      </c>
      <c r="S172" s="9" t="s">
        <v>165</v>
      </c>
      <c r="T172" s="6" t="s">
        <v>152</v>
      </c>
      <c r="U172" s="6" t="s">
        <v>152</v>
      </c>
      <c r="V172" s="6" t="s">
        <v>152</v>
      </c>
      <c r="W172" s="6" t="s">
        <v>152</v>
      </c>
      <c r="X172" s="6" t="s">
        <v>152</v>
      </c>
      <c r="Y172" s="6" t="s">
        <v>152</v>
      </c>
      <c r="Z172" s="6" t="s">
        <v>152</v>
      </c>
      <c r="AA172" s="6" t="s">
        <v>152</v>
      </c>
      <c r="AB172" s="6" t="s">
        <v>152</v>
      </c>
      <c r="AC172" s="6" t="s">
        <v>152</v>
      </c>
      <c r="AD172" s="6" t="s">
        <v>152</v>
      </c>
      <c r="AE172" s="9" t="s">
        <v>165</v>
      </c>
      <c r="AF172" s="6" t="s">
        <v>152</v>
      </c>
      <c r="AG172" s="6" t="s">
        <v>152</v>
      </c>
      <c r="AH172" s="6" t="s">
        <v>152</v>
      </c>
      <c r="AI172" s="6" t="s">
        <v>152</v>
      </c>
      <c r="AJ172" s="6" t="s">
        <v>152</v>
      </c>
      <c r="AK172" s="6" t="s">
        <v>152</v>
      </c>
      <c r="AL172" s="6" t="s">
        <v>152</v>
      </c>
      <c r="AM172" s="9" t="s">
        <v>165</v>
      </c>
      <c r="AN172" s="6" t="s">
        <v>152</v>
      </c>
      <c r="AO172" s="6" t="s">
        <v>152</v>
      </c>
      <c r="AP172" s="6" t="s">
        <v>152</v>
      </c>
      <c r="AQ172" s="6" t="s">
        <v>152</v>
      </c>
      <c r="AR172" s="6" t="s">
        <v>152</v>
      </c>
    </row>
    <row r="173" spans="1:44" x14ac:dyDescent="0.2">
      <c r="A173" s="1" t="str">
        <f ca="1">IFERROR(__xludf.DUMMYFUNCTION("""COMPUTED_VALUE"""),"Thing")</f>
        <v>Thing</v>
      </c>
      <c r="B173" s="6" t="s">
        <v>152</v>
      </c>
      <c r="C173" s="9" t="s">
        <v>165</v>
      </c>
      <c r="D173" s="9" t="s">
        <v>165</v>
      </c>
      <c r="E173" s="6" t="s">
        <v>152</v>
      </c>
      <c r="F173" s="9" t="s">
        <v>165</v>
      </c>
      <c r="G173" s="6" t="s">
        <v>152</v>
      </c>
      <c r="H173" s="6" t="s">
        <v>152</v>
      </c>
      <c r="I173" s="6" t="s">
        <v>152</v>
      </c>
      <c r="J173" s="6" t="s">
        <v>152</v>
      </c>
      <c r="K173" s="6" t="s">
        <v>152</v>
      </c>
      <c r="L173" s="6" t="s">
        <v>152</v>
      </c>
      <c r="M173" s="6" t="s">
        <v>152</v>
      </c>
      <c r="N173" s="6" t="s">
        <v>152</v>
      </c>
      <c r="O173" s="6" t="s">
        <v>152</v>
      </c>
      <c r="P173" s="9" t="s">
        <v>165</v>
      </c>
      <c r="Q173" s="6" t="s">
        <v>152</v>
      </c>
      <c r="R173" s="6" t="s">
        <v>152</v>
      </c>
      <c r="S173" s="6" t="s">
        <v>152</v>
      </c>
      <c r="T173" s="6" t="s">
        <v>152</v>
      </c>
      <c r="U173" s="6" t="s">
        <v>152</v>
      </c>
      <c r="V173" s="6" t="s">
        <v>152</v>
      </c>
      <c r="W173" s="6" t="s">
        <v>152</v>
      </c>
      <c r="X173" s="6" t="s">
        <v>152</v>
      </c>
      <c r="Y173" s="6" t="s">
        <v>152</v>
      </c>
      <c r="Z173" s="9" t="s">
        <v>165</v>
      </c>
      <c r="AA173" s="6" t="s">
        <v>152</v>
      </c>
      <c r="AB173" s="6" t="s">
        <v>152</v>
      </c>
      <c r="AC173" s="6" t="s">
        <v>152</v>
      </c>
      <c r="AD173" s="6" t="s">
        <v>152</v>
      </c>
      <c r="AE173" s="6" t="s">
        <v>152</v>
      </c>
      <c r="AF173" s="6" t="s">
        <v>152</v>
      </c>
      <c r="AG173" s="6" t="s">
        <v>152</v>
      </c>
      <c r="AH173" s="6" t="s">
        <v>152</v>
      </c>
      <c r="AI173" s="6" t="s">
        <v>152</v>
      </c>
      <c r="AJ173" s="6" t="s">
        <v>152</v>
      </c>
      <c r="AK173" s="9" t="s">
        <v>165</v>
      </c>
      <c r="AL173" s="6" t="s">
        <v>152</v>
      </c>
      <c r="AM173" s="6" t="s">
        <v>152</v>
      </c>
      <c r="AN173" s="6" t="s">
        <v>152</v>
      </c>
      <c r="AO173" s="9" t="s">
        <v>165</v>
      </c>
      <c r="AP173" s="6" t="s">
        <v>152</v>
      </c>
      <c r="AQ173" s="6" t="s">
        <v>152</v>
      </c>
      <c r="AR173" s="6" t="s">
        <v>152</v>
      </c>
    </row>
    <row r="174" spans="1:44" x14ac:dyDescent="0.2">
      <c r="A174" s="1" t="str">
        <f ca="1">IFERROR(__xludf.DUMMYFUNCTION("""COMPUTED_VALUE"""),"Thor (Ragnarok)")</f>
        <v>Thor (Ragnarok)</v>
      </c>
      <c r="B174" s="6" t="s">
        <v>152</v>
      </c>
      <c r="C174" s="6" t="s">
        <v>152</v>
      </c>
      <c r="D174" s="6" t="s">
        <v>152</v>
      </c>
      <c r="E174" s="6" t="s">
        <v>152</v>
      </c>
      <c r="F174" s="6" t="s">
        <v>152</v>
      </c>
      <c r="G174" s="6" t="s">
        <v>152</v>
      </c>
      <c r="H174" s="6" t="s">
        <v>152</v>
      </c>
      <c r="I174" s="6" t="s">
        <v>152</v>
      </c>
      <c r="J174" s="6" t="s">
        <v>152</v>
      </c>
      <c r="K174" s="6" t="s">
        <v>152</v>
      </c>
      <c r="L174" s="6" t="s">
        <v>152</v>
      </c>
      <c r="M174" s="6" t="s">
        <v>152</v>
      </c>
      <c r="N174" s="6" t="s">
        <v>152</v>
      </c>
      <c r="O174" s="6" t="s">
        <v>152</v>
      </c>
      <c r="P174" s="6" t="s">
        <v>152</v>
      </c>
      <c r="Q174" s="6" t="s">
        <v>152</v>
      </c>
      <c r="R174" s="6" t="s">
        <v>152</v>
      </c>
      <c r="S174" s="6" t="s">
        <v>152</v>
      </c>
      <c r="T174" s="6" t="s">
        <v>152</v>
      </c>
      <c r="U174" s="6" t="s">
        <v>152</v>
      </c>
      <c r="V174" s="6" t="s">
        <v>152</v>
      </c>
      <c r="W174" s="6" t="s">
        <v>152</v>
      </c>
      <c r="X174" s="6" t="s">
        <v>152</v>
      </c>
      <c r="Y174" s="6" t="s">
        <v>152</v>
      </c>
      <c r="Z174" s="6" t="s">
        <v>152</v>
      </c>
      <c r="AA174" s="6" t="s">
        <v>152</v>
      </c>
      <c r="AB174" s="6" t="s">
        <v>152</v>
      </c>
      <c r="AC174" s="6" t="s">
        <v>152</v>
      </c>
      <c r="AD174" s="6" t="s">
        <v>152</v>
      </c>
      <c r="AE174" s="6" t="s">
        <v>152</v>
      </c>
      <c r="AF174" s="6" t="s">
        <v>152</v>
      </c>
      <c r="AG174" s="6" t="s">
        <v>152</v>
      </c>
      <c r="AH174" s="6" t="s">
        <v>152</v>
      </c>
      <c r="AI174" s="6" t="s">
        <v>152</v>
      </c>
      <c r="AJ174" s="6" t="s">
        <v>152</v>
      </c>
      <c r="AK174" s="9" t="s">
        <v>165</v>
      </c>
      <c r="AL174" s="6" t="s">
        <v>152</v>
      </c>
      <c r="AM174" s="6" t="s">
        <v>152</v>
      </c>
      <c r="AN174" s="6" t="s">
        <v>152</v>
      </c>
      <c r="AO174" s="6" t="s">
        <v>152</v>
      </c>
      <c r="AP174" s="6" t="s">
        <v>152</v>
      </c>
      <c r="AQ174" s="6" t="s">
        <v>152</v>
      </c>
      <c r="AR174" s="9" t="s">
        <v>165</v>
      </c>
    </row>
    <row r="175" spans="1:44" x14ac:dyDescent="0.2">
      <c r="A175" s="1" t="str">
        <f ca="1">IFERROR(__xludf.DUMMYFUNCTION("""COMPUTED_VALUE"""),"Titania")</f>
        <v>Titania</v>
      </c>
      <c r="B175" s="6" t="s">
        <v>152</v>
      </c>
      <c r="C175" s="6" t="s">
        <v>152</v>
      </c>
      <c r="D175" s="6" t="s">
        <v>152</v>
      </c>
      <c r="E175" s="6" t="s">
        <v>152</v>
      </c>
      <c r="F175" s="9" t="s">
        <v>165</v>
      </c>
      <c r="G175" s="9" t="s">
        <v>165</v>
      </c>
      <c r="H175" s="6" t="s">
        <v>152</v>
      </c>
      <c r="I175" s="6" t="s">
        <v>152</v>
      </c>
      <c r="J175" s="6" t="s">
        <v>152</v>
      </c>
      <c r="K175" s="6" t="s">
        <v>152</v>
      </c>
      <c r="L175" s="6" t="s">
        <v>152</v>
      </c>
      <c r="M175" s="6" t="s">
        <v>152</v>
      </c>
      <c r="N175" s="6" t="s">
        <v>152</v>
      </c>
      <c r="O175" s="6" t="s">
        <v>152</v>
      </c>
      <c r="P175" s="6" t="s">
        <v>152</v>
      </c>
      <c r="Q175" s="6" t="s">
        <v>152</v>
      </c>
      <c r="R175" s="6" t="s">
        <v>152</v>
      </c>
      <c r="S175" s="6" t="s">
        <v>152</v>
      </c>
      <c r="T175" s="6" t="s">
        <v>152</v>
      </c>
      <c r="U175" s="6" t="s">
        <v>152</v>
      </c>
      <c r="V175" s="6" t="s">
        <v>152</v>
      </c>
      <c r="W175" s="6" t="s">
        <v>152</v>
      </c>
      <c r="X175" s="6" t="s">
        <v>152</v>
      </c>
      <c r="Y175" s="6" t="s">
        <v>152</v>
      </c>
      <c r="Z175" s="6" t="s">
        <v>152</v>
      </c>
      <c r="AA175" s="6" t="s">
        <v>152</v>
      </c>
      <c r="AB175" s="6" t="s">
        <v>152</v>
      </c>
      <c r="AC175" s="6" t="s">
        <v>152</v>
      </c>
      <c r="AD175" s="6" t="s">
        <v>152</v>
      </c>
      <c r="AE175" s="6" t="s">
        <v>152</v>
      </c>
      <c r="AF175" s="6" t="s">
        <v>152</v>
      </c>
      <c r="AG175" s="6" t="s">
        <v>152</v>
      </c>
      <c r="AH175" s="6" t="s">
        <v>152</v>
      </c>
      <c r="AI175" s="6" t="s">
        <v>152</v>
      </c>
      <c r="AJ175" s="6" t="s">
        <v>152</v>
      </c>
      <c r="AK175" s="6" t="s">
        <v>152</v>
      </c>
      <c r="AL175" s="6" t="s">
        <v>152</v>
      </c>
      <c r="AM175" s="6" t="s">
        <v>152</v>
      </c>
      <c r="AN175" s="6" t="s">
        <v>152</v>
      </c>
      <c r="AO175" s="6" t="s">
        <v>152</v>
      </c>
      <c r="AP175" s="6" t="s">
        <v>152</v>
      </c>
      <c r="AQ175" s="6" t="s">
        <v>152</v>
      </c>
      <c r="AR175" s="6" t="s">
        <v>152</v>
      </c>
    </row>
    <row r="176" spans="1:44" x14ac:dyDescent="0.2">
      <c r="A176" s="1" t="str">
        <f ca="1">IFERROR(__xludf.DUMMYFUNCTION("""COMPUTED_VALUE"""),"Toad")</f>
        <v>Toad</v>
      </c>
      <c r="B176" s="6" t="s">
        <v>152</v>
      </c>
      <c r="C176" s="6" t="s">
        <v>152</v>
      </c>
      <c r="D176" s="6" t="s">
        <v>152</v>
      </c>
      <c r="E176" s="6" t="s">
        <v>152</v>
      </c>
      <c r="F176" s="6" t="s">
        <v>152</v>
      </c>
      <c r="G176" s="6" t="s">
        <v>152</v>
      </c>
      <c r="H176" s="6" t="s">
        <v>152</v>
      </c>
      <c r="I176" s="6" t="s">
        <v>152</v>
      </c>
      <c r="J176" s="6" t="s">
        <v>152</v>
      </c>
      <c r="K176" s="6" t="s">
        <v>152</v>
      </c>
      <c r="L176" s="6" t="s">
        <v>152</v>
      </c>
      <c r="M176" s="6" t="s">
        <v>152</v>
      </c>
      <c r="N176" s="6" t="s">
        <v>152</v>
      </c>
      <c r="O176" s="6" t="s">
        <v>152</v>
      </c>
      <c r="P176" s="6" t="s">
        <v>152</v>
      </c>
      <c r="Q176" s="6" t="s">
        <v>152</v>
      </c>
      <c r="R176" s="6" t="s">
        <v>152</v>
      </c>
      <c r="S176" s="6" t="s">
        <v>152</v>
      </c>
      <c r="T176" s="6" t="s">
        <v>152</v>
      </c>
      <c r="U176" s="6" t="s">
        <v>152</v>
      </c>
      <c r="V176" s="6" t="s">
        <v>152</v>
      </c>
      <c r="W176" s="6" t="s">
        <v>152</v>
      </c>
      <c r="X176" s="6" t="s">
        <v>152</v>
      </c>
      <c r="Y176" s="6" t="s">
        <v>152</v>
      </c>
      <c r="Z176" s="6" t="s">
        <v>152</v>
      </c>
      <c r="AA176" s="6" t="s">
        <v>152</v>
      </c>
      <c r="AB176" s="9" t="s">
        <v>165</v>
      </c>
      <c r="AC176" s="6" t="s">
        <v>152</v>
      </c>
      <c r="AD176" s="6" t="s">
        <v>152</v>
      </c>
      <c r="AE176" s="6" t="s">
        <v>152</v>
      </c>
      <c r="AF176" s="6" t="s">
        <v>152</v>
      </c>
      <c r="AG176" s="6" t="s">
        <v>152</v>
      </c>
      <c r="AH176" s="6" t="s">
        <v>152</v>
      </c>
      <c r="AI176" s="6" t="s">
        <v>152</v>
      </c>
      <c r="AJ176" s="6" t="s">
        <v>152</v>
      </c>
      <c r="AK176" s="6" t="s">
        <v>152</v>
      </c>
      <c r="AL176" s="6" t="s">
        <v>152</v>
      </c>
      <c r="AM176" s="6" t="s">
        <v>152</v>
      </c>
      <c r="AN176" s="6" t="s">
        <v>152</v>
      </c>
      <c r="AO176" s="6" t="s">
        <v>152</v>
      </c>
      <c r="AP176" s="6" t="s">
        <v>152</v>
      </c>
      <c r="AQ176" s="6" t="s">
        <v>152</v>
      </c>
      <c r="AR176" s="6" t="s">
        <v>152</v>
      </c>
    </row>
    <row r="177" spans="1:44" x14ac:dyDescent="0.2">
      <c r="A177" s="1" t="str">
        <f ca="1">IFERROR(__xludf.DUMMYFUNCTION("""COMPUTED_VALUE"""),"Ultron")</f>
        <v>Ultron</v>
      </c>
      <c r="B177" s="6" t="s">
        <v>152</v>
      </c>
      <c r="C177" s="6" t="s">
        <v>152</v>
      </c>
      <c r="D177" s="6" t="s">
        <v>152</v>
      </c>
      <c r="E177" s="6" t="s">
        <v>152</v>
      </c>
      <c r="F177" s="9" t="s">
        <v>165</v>
      </c>
      <c r="G177" s="6" t="s">
        <v>152</v>
      </c>
      <c r="H177" s="6" t="s">
        <v>152</v>
      </c>
      <c r="I177" s="6" t="s">
        <v>152</v>
      </c>
      <c r="J177" s="6" t="s">
        <v>152</v>
      </c>
      <c r="K177" s="6" t="s">
        <v>152</v>
      </c>
      <c r="L177" s="6" t="s">
        <v>152</v>
      </c>
      <c r="M177" s="6" t="s">
        <v>152</v>
      </c>
      <c r="N177" s="6" t="s">
        <v>152</v>
      </c>
      <c r="O177" s="6" t="s">
        <v>152</v>
      </c>
      <c r="P177" s="6" t="s">
        <v>152</v>
      </c>
      <c r="Q177" s="6" t="s">
        <v>152</v>
      </c>
      <c r="R177" s="6" t="s">
        <v>152</v>
      </c>
      <c r="S177" s="6" t="s">
        <v>152</v>
      </c>
      <c r="T177" s="6" t="s">
        <v>152</v>
      </c>
      <c r="U177" s="6" t="s">
        <v>152</v>
      </c>
      <c r="V177" s="6" t="s">
        <v>152</v>
      </c>
      <c r="W177" s="6" t="s">
        <v>152</v>
      </c>
      <c r="X177" s="6" t="s">
        <v>152</v>
      </c>
      <c r="Y177" s="6" t="s">
        <v>152</v>
      </c>
      <c r="Z177" s="6" t="s">
        <v>152</v>
      </c>
      <c r="AA177" s="6" t="s">
        <v>152</v>
      </c>
      <c r="AB177" s="9" t="s">
        <v>165</v>
      </c>
      <c r="AC177" s="6" t="s">
        <v>152</v>
      </c>
      <c r="AD177" s="6" t="s">
        <v>152</v>
      </c>
      <c r="AE177" s="6" t="s">
        <v>152</v>
      </c>
      <c r="AF177" s="6" t="s">
        <v>152</v>
      </c>
      <c r="AG177" s="6" t="s">
        <v>152</v>
      </c>
      <c r="AH177" s="6" t="s">
        <v>152</v>
      </c>
      <c r="AI177" s="6" t="s">
        <v>152</v>
      </c>
      <c r="AJ177" s="6" t="s">
        <v>152</v>
      </c>
      <c r="AK177" s="6" t="s">
        <v>152</v>
      </c>
      <c r="AL177" s="9" t="s">
        <v>165</v>
      </c>
      <c r="AM177" s="6" t="s">
        <v>152</v>
      </c>
      <c r="AN177" s="6" t="s">
        <v>152</v>
      </c>
      <c r="AO177" s="6" t="s">
        <v>152</v>
      </c>
      <c r="AP177" s="6" t="s">
        <v>152</v>
      </c>
      <c r="AQ177" s="6" t="s">
        <v>152</v>
      </c>
      <c r="AR177" s="6" t="s">
        <v>152</v>
      </c>
    </row>
    <row r="178" spans="1:44" x14ac:dyDescent="0.2">
      <c r="A178" s="1" t="str">
        <f ca="1">IFERROR(__xludf.DUMMYFUNCTION("""COMPUTED_VALUE"""),"Ultron (Classic)")</f>
        <v>Ultron (Classic)</v>
      </c>
      <c r="B178" s="6" t="s">
        <v>152</v>
      </c>
      <c r="C178" s="6" t="s">
        <v>152</v>
      </c>
      <c r="D178" s="6" t="s">
        <v>152</v>
      </c>
      <c r="E178" s="6" t="s">
        <v>152</v>
      </c>
      <c r="F178" s="9" t="s">
        <v>165</v>
      </c>
      <c r="G178" s="6" t="s">
        <v>152</v>
      </c>
      <c r="H178" s="6" t="s">
        <v>152</v>
      </c>
      <c r="I178" s="6" t="s">
        <v>152</v>
      </c>
      <c r="J178" s="6" t="s">
        <v>152</v>
      </c>
      <c r="K178" s="6" t="s">
        <v>152</v>
      </c>
      <c r="L178" s="6" t="s">
        <v>152</v>
      </c>
      <c r="M178" s="6" t="s">
        <v>152</v>
      </c>
      <c r="N178" s="6" t="s">
        <v>152</v>
      </c>
      <c r="O178" s="6" t="s">
        <v>152</v>
      </c>
      <c r="P178" s="6" t="s">
        <v>152</v>
      </c>
      <c r="Q178" s="6" t="s">
        <v>152</v>
      </c>
      <c r="R178" s="6" t="s">
        <v>152</v>
      </c>
      <c r="S178" s="6" t="s">
        <v>152</v>
      </c>
      <c r="T178" s="6" t="s">
        <v>152</v>
      </c>
      <c r="U178" s="6" t="s">
        <v>152</v>
      </c>
      <c r="V178" s="6" t="s">
        <v>152</v>
      </c>
      <c r="W178" s="6" t="s">
        <v>152</v>
      </c>
      <c r="X178" s="6" t="s">
        <v>152</v>
      </c>
      <c r="Y178" s="6" t="s">
        <v>152</v>
      </c>
      <c r="Z178" s="6" t="s">
        <v>152</v>
      </c>
      <c r="AA178" s="6" t="s">
        <v>152</v>
      </c>
      <c r="AB178" s="9" t="s">
        <v>165</v>
      </c>
      <c r="AC178" s="6" t="s">
        <v>152</v>
      </c>
      <c r="AD178" s="6" t="s">
        <v>152</v>
      </c>
      <c r="AE178" s="6" t="s">
        <v>152</v>
      </c>
      <c r="AF178" s="6" t="s">
        <v>152</v>
      </c>
      <c r="AG178" s="6" t="s">
        <v>152</v>
      </c>
      <c r="AH178" s="6" t="s">
        <v>152</v>
      </c>
      <c r="AI178" s="6" t="s">
        <v>152</v>
      </c>
      <c r="AJ178" s="6" t="s">
        <v>152</v>
      </c>
      <c r="AK178" s="6" t="s">
        <v>152</v>
      </c>
      <c r="AL178" s="6" t="s">
        <v>152</v>
      </c>
      <c r="AM178" s="6" t="s">
        <v>152</v>
      </c>
      <c r="AN178" s="6" t="s">
        <v>152</v>
      </c>
      <c r="AO178" s="6" t="s">
        <v>152</v>
      </c>
      <c r="AP178" s="6" t="s">
        <v>152</v>
      </c>
      <c r="AQ178" s="6" t="s">
        <v>152</v>
      </c>
      <c r="AR178" s="6" t="s">
        <v>152</v>
      </c>
    </row>
    <row r="179" spans="1:44" x14ac:dyDescent="0.2">
      <c r="A179" s="1" t="str">
        <f ca="1">IFERROR(__xludf.DUMMYFUNCTION("""COMPUTED_VALUE"""),"Unstoppable Colossus")</f>
        <v>Unstoppable Colossus</v>
      </c>
      <c r="B179" s="6" t="s">
        <v>152</v>
      </c>
      <c r="C179" s="6" t="s">
        <v>152</v>
      </c>
      <c r="D179" s="6" t="s">
        <v>152</v>
      </c>
      <c r="E179" s="6" t="s">
        <v>152</v>
      </c>
      <c r="F179" s="9" t="s">
        <v>165</v>
      </c>
      <c r="G179" s="6" t="s">
        <v>152</v>
      </c>
      <c r="H179" s="6" t="s">
        <v>152</v>
      </c>
      <c r="I179" s="6" t="s">
        <v>152</v>
      </c>
      <c r="J179" s="6" t="s">
        <v>152</v>
      </c>
      <c r="K179" s="6" t="s">
        <v>152</v>
      </c>
      <c r="L179" s="6" t="s">
        <v>152</v>
      </c>
      <c r="M179" s="6" t="s">
        <v>152</v>
      </c>
      <c r="N179" s="6" t="s">
        <v>152</v>
      </c>
      <c r="O179" s="6" t="s">
        <v>152</v>
      </c>
      <c r="P179" s="6" t="s">
        <v>152</v>
      </c>
      <c r="Q179" s="6" t="s">
        <v>152</v>
      </c>
      <c r="R179" s="6" t="s">
        <v>152</v>
      </c>
      <c r="S179" s="6" t="s">
        <v>152</v>
      </c>
      <c r="T179" s="6" t="s">
        <v>152</v>
      </c>
      <c r="U179" s="6" t="s">
        <v>152</v>
      </c>
      <c r="V179" s="6" t="s">
        <v>152</v>
      </c>
      <c r="W179" s="6" t="s">
        <v>152</v>
      </c>
      <c r="X179" s="6" t="s">
        <v>152</v>
      </c>
      <c r="Y179" s="6" t="s">
        <v>152</v>
      </c>
      <c r="Z179" s="6" t="s">
        <v>152</v>
      </c>
      <c r="AA179" s="6" t="s">
        <v>152</v>
      </c>
      <c r="AB179" s="6" t="s">
        <v>152</v>
      </c>
      <c r="AC179" s="6" t="s">
        <v>152</v>
      </c>
      <c r="AD179" s="6" t="s">
        <v>152</v>
      </c>
      <c r="AE179" s="6" t="s">
        <v>152</v>
      </c>
      <c r="AF179" s="6" t="s">
        <v>152</v>
      </c>
      <c r="AG179" s="6" t="s">
        <v>152</v>
      </c>
      <c r="AH179" s="6" t="s">
        <v>152</v>
      </c>
      <c r="AI179" s="6" t="s">
        <v>152</v>
      </c>
      <c r="AJ179" s="6" t="s">
        <v>152</v>
      </c>
      <c r="AK179" s="6" t="s">
        <v>152</v>
      </c>
      <c r="AL179" s="6" t="s">
        <v>152</v>
      </c>
      <c r="AM179" s="6" t="s">
        <v>152</v>
      </c>
      <c r="AN179" s="6" t="s">
        <v>152</v>
      </c>
      <c r="AO179" s="6" t="s">
        <v>152</v>
      </c>
      <c r="AP179" s="6" t="s">
        <v>152</v>
      </c>
      <c r="AQ179" s="6" t="s">
        <v>152</v>
      </c>
      <c r="AR179" s="6" t="s">
        <v>152</v>
      </c>
    </row>
    <row r="180" spans="1:44" x14ac:dyDescent="0.2">
      <c r="A180" s="1" t="str">
        <f ca="1">IFERROR(__xludf.DUMMYFUNCTION("""COMPUTED_VALUE"""),"Venompool")</f>
        <v>Venompool</v>
      </c>
      <c r="B180" s="6" t="s">
        <v>152</v>
      </c>
      <c r="C180" s="6" t="s">
        <v>152</v>
      </c>
      <c r="D180" s="6" t="s">
        <v>152</v>
      </c>
      <c r="E180" s="6" t="s">
        <v>152</v>
      </c>
      <c r="F180" s="6" t="s">
        <v>152</v>
      </c>
      <c r="G180" s="6" t="s">
        <v>152</v>
      </c>
      <c r="H180" s="6" t="s">
        <v>152</v>
      </c>
      <c r="I180" s="6" t="s">
        <v>152</v>
      </c>
      <c r="J180" s="6" t="s">
        <v>152</v>
      </c>
      <c r="K180" s="6" t="s">
        <v>152</v>
      </c>
      <c r="L180" s="6" t="s">
        <v>152</v>
      </c>
      <c r="M180" s="6" t="s">
        <v>152</v>
      </c>
      <c r="N180" s="6" t="s">
        <v>152</v>
      </c>
      <c r="O180" s="6" t="s">
        <v>152</v>
      </c>
      <c r="P180" s="6" t="s">
        <v>152</v>
      </c>
      <c r="Q180" s="6" t="s">
        <v>152</v>
      </c>
      <c r="R180" s="6" t="s">
        <v>152</v>
      </c>
      <c r="S180" s="6" t="s">
        <v>152</v>
      </c>
      <c r="T180" s="9" t="s">
        <v>165</v>
      </c>
      <c r="U180" s="6" t="s">
        <v>152</v>
      </c>
      <c r="V180" s="6" t="s">
        <v>152</v>
      </c>
      <c r="W180" s="6" t="s">
        <v>152</v>
      </c>
      <c r="X180" s="6" t="s">
        <v>152</v>
      </c>
      <c r="Y180" s="6" t="s">
        <v>152</v>
      </c>
      <c r="Z180" s="6" t="s">
        <v>152</v>
      </c>
      <c r="AA180" s="6" t="s">
        <v>152</v>
      </c>
      <c r="AB180" s="6" t="s">
        <v>152</v>
      </c>
      <c r="AC180" s="6" t="s">
        <v>152</v>
      </c>
      <c r="AD180" s="6" t="s">
        <v>152</v>
      </c>
      <c r="AE180" s="6" t="s">
        <v>152</v>
      </c>
      <c r="AF180" s="6" t="s">
        <v>152</v>
      </c>
      <c r="AG180" s="6" t="s">
        <v>152</v>
      </c>
      <c r="AH180" s="6" t="s">
        <v>152</v>
      </c>
      <c r="AI180" s="6" t="s">
        <v>152</v>
      </c>
      <c r="AJ180" s="6" t="s">
        <v>152</v>
      </c>
      <c r="AK180" s="6" t="s">
        <v>152</v>
      </c>
      <c r="AL180" s="6" t="s">
        <v>152</v>
      </c>
      <c r="AM180" s="9" t="s">
        <v>165</v>
      </c>
      <c r="AN180" s="6" t="s">
        <v>152</v>
      </c>
      <c r="AO180" s="6" t="s">
        <v>152</v>
      </c>
      <c r="AP180" s="6" t="s">
        <v>152</v>
      </c>
      <c r="AQ180" s="6" t="s">
        <v>152</v>
      </c>
      <c r="AR180" s="6" t="s">
        <v>152</v>
      </c>
    </row>
    <row r="181" spans="1:44" x14ac:dyDescent="0.2">
      <c r="A181" s="1" t="str">
        <f ca="1">IFERROR(__xludf.DUMMYFUNCTION("""COMPUTED_VALUE"""),"Vision")</f>
        <v>Vision</v>
      </c>
      <c r="B181" s="6" t="s">
        <v>152</v>
      </c>
      <c r="C181" s="6" t="s">
        <v>152</v>
      </c>
      <c r="D181" s="6" t="s">
        <v>152</v>
      </c>
      <c r="E181" s="6" t="s">
        <v>152</v>
      </c>
      <c r="F181" s="9" t="s">
        <v>165</v>
      </c>
      <c r="G181" s="6" t="s">
        <v>152</v>
      </c>
      <c r="H181" s="6" t="s">
        <v>152</v>
      </c>
      <c r="I181" s="6" t="s">
        <v>152</v>
      </c>
      <c r="J181" s="6" t="s">
        <v>152</v>
      </c>
      <c r="K181" s="6" t="s">
        <v>152</v>
      </c>
      <c r="L181" s="6" t="s">
        <v>152</v>
      </c>
      <c r="M181" s="6" t="s">
        <v>152</v>
      </c>
      <c r="N181" s="6" t="s">
        <v>152</v>
      </c>
      <c r="O181" s="6" t="s">
        <v>152</v>
      </c>
      <c r="P181" s="6" t="s">
        <v>152</v>
      </c>
      <c r="Q181" s="6" t="s">
        <v>152</v>
      </c>
      <c r="R181" s="6" t="s">
        <v>152</v>
      </c>
      <c r="S181" s="6" t="s">
        <v>152</v>
      </c>
      <c r="T181" s="6" t="s">
        <v>152</v>
      </c>
      <c r="U181" s="6" t="s">
        <v>152</v>
      </c>
      <c r="V181" s="6" t="s">
        <v>152</v>
      </c>
      <c r="W181" s="6" t="s">
        <v>152</v>
      </c>
      <c r="X181" s="6" t="s">
        <v>152</v>
      </c>
      <c r="Y181" s="6" t="s">
        <v>152</v>
      </c>
      <c r="Z181" s="6" t="s">
        <v>152</v>
      </c>
      <c r="AA181" s="6" t="s">
        <v>152</v>
      </c>
      <c r="AB181" s="9" t="s">
        <v>165</v>
      </c>
      <c r="AC181" s="6" t="s">
        <v>152</v>
      </c>
      <c r="AD181" s="6" t="s">
        <v>152</v>
      </c>
      <c r="AE181" s="6" t="s">
        <v>152</v>
      </c>
      <c r="AF181" s="6" t="s">
        <v>152</v>
      </c>
      <c r="AG181" s="6" t="s">
        <v>152</v>
      </c>
      <c r="AH181" s="6" t="s">
        <v>152</v>
      </c>
      <c r="AI181" s="6" t="s">
        <v>152</v>
      </c>
      <c r="AJ181" s="6" t="s">
        <v>152</v>
      </c>
      <c r="AK181" s="6" t="s">
        <v>152</v>
      </c>
      <c r="AL181" s="6" t="s">
        <v>152</v>
      </c>
      <c r="AM181" s="6" t="s">
        <v>152</v>
      </c>
      <c r="AN181" s="6" t="s">
        <v>152</v>
      </c>
      <c r="AO181" s="6" t="s">
        <v>152</v>
      </c>
      <c r="AP181" s="6" t="s">
        <v>152</v>
      </c>
      <c r="AQ181" s="6" t="s">
        <v>152</v>
      </c>
      <c r="AR181" s="6" t="s">
        <v>152</v>
      </c>
    </row>
    <row r="182" spans="1:44" x14ac:dyDescent="0.2">
      <c r="A182" s="1" t="str">
        <f ca="1">IFERROR(__xludf.DUMMYFUNCTION("""COMPUTED_VALUE"""),"Vision (Age of Ultron)")</f>
        <v>Vision (Age of Ultron)</v>
      </c>
      <c r="B182" s="6" t="s">
        <v>152</v>
      </c>
      <c r="C182" s="6" t="s">
        <v>152</v>
      </c>
      <c r="D182" s="6" t="s">
        <v>152</v>
      </c>
      <c r="E182" s="6" t="s">
        <v>152</v>
      </c>
      <c r="F182" s="9" t="s">
        <v>165</v>
      </c>
      <c r="G182" s="6" t="s">
        <v>152</v>
      </c>
      <c r="H182" s="6" t="s">
        <v>152</v>
      </c>
      <c r="I182" s="6" t="s">
        <v>152</v>
      </c>
      <c r="J182" s="6" t="s">
        <v>152</v>
      </c>
      <c r="K182" s="6" t="s">
        <v>152</v>
      </c>
      <c r="L182" s="6" t="s">
        <v>152</v>
      </c>
      <c r="M182" s="6" t="s">
        <v>152</v>
      </c>
      <c r="N182" s="6" t="s">
        <v>152</v>
      </c>
      <c r="O182" s="6" t="s">
        <v>152</v>
      </c>
      <c r="P182" s="6" t="s">
        <v>152</v>
      </c>
      <c r="Q182" s="6" t="s">
        <v>152</v>
      </c>
      <c r="R182" s="6" t="s">
        <v>152</v>
      </c>
      <c r="S182" s="6" t="s">
        <v>152</v>
      </c>
      <c r="T182" s="6" t="s">
        <v>152</v>
      </c>
      <c r="U182" s="6" t="s">
        <v>152</v>
      </c>
      <c r="V182" s="6" t="s">
        <v>152</v>
      </c>
      <c r="W182" s="6" t="s">
        <v>152</v>
      </c>
      <c r="X182" s="6" t="s">
        <v>152</v>
      </c>
      <c r="Y182" s="6" t="s">
        <v>152</v>
      </c>
      <c r="Z182" s="6" t="s">
        <v>152</v>
      </c>
      <c r="AA182" s="6" t="s">
        <v>152</v>
      </c>
      <c r="AB182" s="9" t="s">
        <v>165</v>
      </c>
      <c r="AC182" s="6" t="s">
        <v>152</v>
      </c>
      <c r="AD182" s="6" t="s">
        <v>152</v>
      </c>
      <c r="AE182" s="6" t="s">
        <v>152</v>
      </c>
      <c r="AF182" s="6" t="s">
        <v>152</v>
      </c>
      <c r="AG182" s="6" t="s">
        <v>152</v>
      </c>
      <c r="AH182" s="6" t="s">
        <v>152</v>
      </c>
      <c r="AI182" s="6" t="s">
        <v>152</v>
      </c>
      <c r="AJ182" s="6" t="s">
        <v>152</v>
      </c>
      <c r="AK182" s="6" t="s">
        <v>152</v>
      </c>
      <c r="AL182" s="6" t="s">
        <v>152</v>
      </c>
      <c r="AM182" s="6" t="s">
        <v>152</v>
      </c>
      <c r="AN182" s="6" t="s">
        <v>152</v>
      </c>
      <c r="AO182" s="6" t="s">
        <v>152</v>
      </c>
      <c r="AP182" s="6" t="s">
        <v>152</v>
      </c>
      <c r="AQ182" s="6" t="s">
        <v>152</v>
      </c>
      <c r="AR182" s="6" t="s">
        <v>152</v>
      </c>
    </row>
    <row r="183" spans="1:44" x14ac:dyDescent="0.2">
      <c r="A183" s="1" t="str">
        <f ca="1">IFERROR(__xludf.DUMMYFUNCTION("""COMPUTED_VALUE"""),"Vision (Deathless)")</f>
        <v>Vision (Deathless)</v>
      </c>
      <c r="B183" s="6" t="s">
        <v>152</v>
      </c>
      <c r="C183" s="6" t="s">
        <v>152</v>
      </c>
      <c r="D183" s="6" t="s">
        <v>152</v>
      </c>
      <c r="E183" s="6" t="s">
        <v>152</v>
      </c>
      <c r="F183" s="9" t="s">
        <v>165</v>
      </c>
      <c r="G183" s="6" t="s">
        <v>152</v>
      </c>
      <c r="H183" s="9" t="s">
        <v>165</v>
      </c>
      <c r="I183" s="6" t="s">
        <v>152</v>
      </c>
      <c r="J183" s="6" t="s">
        <v>152</v>
      </c>
      <c r="K183" s="6" t="s">
        <v>152</v>
      </c>
      <c r="L183" s="6" t="s">
        <v>152</v>
      </c>
      <c r="M183" s="6" t="s">
        <v>152</v>
      </c>
      <c r="N183" s="6" t="s">
        <v>152</v>
      </c>
      <c r="O183" s="6" t="s">
        <v>152</v>
      </c>
      <c r="P183" s="6" t="s">
        <v>152</v>
      </c>
      <c r="Q183" s="6" t="s">
        <v>152</v>
      </c>
      <c r="R183" s="9" t="s">
        <v>165</v>
      </c>
      <c r="S183" s="6" t="s">
        <v>152</v>
      </c>
      <c r="T183" s="6" t="s">
        <v>152</v>
      </c>
      <c r="U183" s="6" t="s">
        <v>152</v>
      </c>
      <c r="V183" s="6" t="s">
        <v>152</v>
      </c>
      <c r="W183" s="6" t="s">
        <v>152</v>
      </c>
      <c r="X183" s="6" t="s">
        <v>152</v>
      </c>
      <c r="Y183" s="6" t="s">
        <v>152</v>
      </c>
      <c r="Z183" s="6" t="s">
        <v>152</v>
      </c>
      <c r="AA183" s="6" t="s">
        <v>152</v>
      </c>
      <c r="AB183" s="9" t="s">
        <v>165</v>
      </c>
      <c r="AC183" s="9" t="s">
        <v>165</v>
      </c>
      <c r="AD183" s="9" t="s">
        <v>165</v>
      </c>
      <c r="AE183" s="6" t="s">
        <v>152</v>
      </c>
      <c r="AF183" s="6" t="s">
        <v>152</v>
      </c>
      <c r="AG183" s="6" t="s">
        <v>152</v>
      </c>
      <c r="AH183" s="6" t="s">
        <v>152</v>
      </c>
      <c r="AI183" s="9" t="s">
        <v>165</v>
      </c>
      <c r="AJ183" s="6" t="s">
        <v>152</v>
      </c>
      <c r="AK183" s="6" t="s">
        <v>152</v>
      </c>
      <c r="AL183" s="6" t="s">
        <v>152</v>
      </c>
      <c r="AM183" s="6" t="s">
        <v>152</v>
      </c>
      <c r="AN183" s="6" t="s">
        <v>152</v>
      </c>
      <c r="AO183" s="6" t="s">
        <v>152</v>
      </c>
      <c r="AP183" s="6" t="s">
        <v>152</v>
      </c>
      <c r="AQ183" s="6" t="s">
        <v>152</v>
      </c>
      <c r="AR183" s="6" t="s">
        <v>152</v>
      </c>
    </row>
    <row r="184" spans="1:44" x14ac:dyDescent="0.2">
      <c r="A184" s="1" t="str">
        <f ca="1">IFERROR(__xludf.DUMMYFUNCTION("""COMPUTED_VALUE"""),"Viv Vision")</f>
        <v>Viv Vision</v>
      </c>
      <c r="B184" s="6" t="s">
        <v>152</v>
      </c>
      <c r="C184" s="6" t="s">
        <v>152</v>
      </c>
      <c r="D184" s="6" t="s">
        <v>152</v>
      </c>
      <c r="E184" s="6" t="s">
        <v>152</v>
      </c>
      <c r="F184" s="9" t="s">
        <v>165</v>
      </c>
      <c r="G184" s="6" t="s">
        <v>152</v>
      </c>
      <c r="H184" s="6" t="s">
        <v>152</v>
      </c>
      <c r="I184" s="6" t="s">
        <v>152</v>
      </c>
      <c r="J184" s="6" t="s">
        <v>152</v>
      </c>
      <c r="K184" s="6" t="s">
        <v>152</v>
      </c>
      <c r="L184" s="6" t="s">
        <v>152</v>
      </c>
      <c r="M184" s="6" t="s">
        <v>152</v>
      </c>
      <c r="N184" s="6" t="s">
        <v>152</v>
      </c>
      <c r="O184" s="6" t="s">
        <v>152</v>
      </c>
      <c r="P184" s="9" t="s">
        <v>165</v>
      </c>
      <c r="Q184" s="6" t="s">
        <v>152</v>
      </c>
      <c r="R184" s="6" t="s">
        <v>152</v>
      </c>
      <c r="S184" s="6" t="s">
        <v>152</v>
      </c>
      <c r="T184" s="6" t="s">
        <v>152</v>
      </c>
      <c r="U184" s="6" t="s">
        <v>152</v>
      </c>
      <c r="V184" s="6" t="s">
        <v>152</v>
      </c>
      <c r="W184" s="6" t="s">
        <v>152</v>
      </c>
      <c r="X184" s="6" t="s">
        <v>152</v>
      </c>
      <c r="Y184" s="6" t="s">
        <v>152</v>
      </c>
      <c r="Z184" s="9" t="s">
        <v>165</v>
      </c>
      <c r="AA184" s="6" t="s">
        <v>152</v>
      </c>
      <c r="AB184" s="9" t="s">
        <v>165</v>
      </c>
      <c r="AC184" s="6" t="s">
        <v>152</v>
      </c>
      <c r="AD184" s="6" t="s">
        <v>152</v>
      </c>
      <c r="AE184" s="6" t="s">
        <v>152</v>
      </c>
      <c r="AF184" s="6" t="s">
        <v>152</v>
      </c>
      <c r="AG184" s="6" t="s">
        <v>152</v>
      </c>
      <c r="AH184" s="6" t="s">
        <v>152</v>
      </c>
      <c r="AI184" s="9" t="s">
        <v>165</v>
      </c>
      <c r="AJ184" s="6" t="s">
        <v>152</v>
      </c>
      <c r="AK184" s="6" t="s">
        <v>152</v>
      </c>
      <c r="AL184" s="6" t="s">
        <v>152</v>
      </c>
      <c r="AM184" s="6" t="s">
        <v>152</v>
      </c>
      <c r="AN184" s="6" t="s">
        <v>152</v>
      </c>
      <c r="AO184" s="6" t="s">
        <v>152</v>
      </c>
      <c r="AP184" s="9" t="s">
        <v>165</v>
      </c>
      <c r="AQ184" s="6" t="s">
        <v>152</v>
      </c>
      <c r="AR184" s="6" t="s">
        <v>152</v>
      </c>
    </row>
    <row r="185" spans="1:44" x14ac:dyDescent="0.2">
      <c r="A185" s="1" t="str">
        <f ca="1">IFERROR(__xludf.DUMMYFUNCTION("""COMPUTED_VALUE"""),"Void")</f>
        <v>Void</v>
      </c>
      <c r="B185" s="6" t="s">
        <v>152</v>
      </c>
      <c r="C185" s="6" t="s">
        <v>152</v>
      </c>
      <c r="D185" s="6" t="s">
        <v>152</v>
      </c>
      <c r="E185" s="6" t="s">
        <v>152</v>
      </c>
      <c r="F185" s="6" t="s">
        <v>152</v>
      </c>
      <c r="G185" s="6" t="s">
        <v>152</v>
      </c>
      <c r="H185" s="6" t="s">
        <v>152</v>
      </c>
      <c r="I185" s="6" t="s">
        <v>152</v>
      </c>
      <c r="J185" s="6" t="s">
        <v>152</v>
      </c>
      <c r="K185" s="6" t="s">
        <v>152</v>
      </c>
      <c r="L185" s="6" t="s">
        <v>152</v>
      </c>
      <c r="M185" s="6" t="s">
        <v>152</v>
      </c>
      <c r="N185" s="6" t="s">
        <v>152</v>
      </c>
      <c r="O185" s="6" t="s">
        <v>152</v>
      </c>
      <c r="P185" s="6" t="s">
        <v>152</v>
      </c>
      <c r="Q185" s="6" t="s">
        <v>152</v>
      </c>
      <c r="R185" s="6" t="s">
        <v>152</v>
      </c>
      <c r="S185" s="6" t="s">
        <v>152</v>
      </c>
      <c r="T185" s="9" t="s">
        <v>165</v>
      </c>
      <c r="U185" s="6" t="s">
        <v>152</v>
      </c>
      <c r="V185" s="6" t="s">
        <v>152</v>
      </c>
      <c r="W185" s="6" t="s">
        <v>152</v>
      </c>
      <c r="X185" s="6" t="s">
        <v>152</v>
      </c>
      <c r="Y185" s="6" t="s">
        <v>152</v>
      </c>
      <c r="Z185" s="6" t="s">
        <v>152</v>
      </c>
      <c r="AA185" s="6" t="s">
        <v>152</v>
      </c>
      <c r="AB185" s="6" t="s">
        <v>152</v>
      </c>
      <c r="AC185" s="6" t="s">
        <v>152</v>
      </c>
      <c r="AD185" s="6" t="s">
        <v>152</v>
      </c>
      <c r="AE185" s="6" t="s">
        <v>152</v>
      </c>
      <c r="AF185" s="6" t="s">
        <v>152</v>
      </c>
      <c r="AG185" s="6" t="s">
        <v>152</v>
      </c>
      <c r="AH185" s="6" t="s">
        <v>152</v>
      </c>
      <c r="AI185" s="6" t="s">
        <v>152</v>
      </c>
      <c r="AJ185" s="6" t="s">
        <v>152</v>
      </c>
      <c r="AK185" s="6" t="s">
        <v>152</v>
      </c>
      <c r="AL185" s="6" t="s">
        <v>152</v>
      </c>
      <c r="AM185" s="6" t="s">
        <v>152</v>
      </c>
      <c r="AN185" s="6" t="s">
        <v>152</v>
      </c>
      <c r="AO185" s="6" t="s">
        <v>152</v>
      </c>
      <c r="AP185" s="6" t="s">
        <v>152</v>
      </c>
      <c r="AQ185" s="6" t="s">
        <v>152</v>
      </c>
      <c r="AR185" s="6" t="s">
        <v>152</v>
      </c>
    </row>
    <row r="186" spans="1:44" x14ac:dyDescent="0.2">
      <c r="A186" s="1" t="str">
        <f ca="1">IFERROR(__xludf.DUMMYFUNCTION("""COMPUTED_VALUE"""),"Vox")</f>
        <v>Vox</v>
      </c>
      <c r="B186" s="6" t="s">
        <v>152</v>
      </c>
      <c r="C186" s="6" t="s">
        <v>152</v>
      </c>
      <c r="D186" s="6" t="s">
        <v>152</v>
      </c>
      <c r="E186" s="6" t="s">
        <v>152</v>
      </c>
      <c r="F186" s="6" t="s">
        <v>152</v>
      </c>
      <c r="G186" s="6" t="s">
        <v>152</v>
      </c>
      <c r="H186" s="6" t="s">
        <v>152</v>
      </c>
      <c r="I186" s="6" t="s">
        <v>152</v>
      </c>
      <c r="J186" s="6" t="s">
        <v>152</v>
      </c>
      <c r="K186" s="6" t="s">
        <v>152</v>
      </c>
      <c r="L186" s="6" t="s">
        <v>152</v>
      </c>
      <c r="M186" s="6" t="s">
        <v>152</v>
      </c>
      <c r="N186" s="6" t="s">
        <v>152</v>
      </c>
      <c r="O186" s="6" t="s">
        <v>152</v>
      </c>
      <c r="P186" s="6" t="s">
        <v>152</v>
      </c>
      <c r="Q186" s="6" t="s">
        <v>152</v>
      </c>
      <c r="R186" s="6" t="s">
        <v>152</v>
      </c>
      <c r="S186" s="6" t="s">
        <v>152</v>
      </c>
      <c r="T186" s="6" t="s">
        <v>152</v>
      </c>
      <c r="U186" s="6" t="s">
        <v>152</v>
      </c>
      <c r="V186" s="6" t="s">
        <v>152</v>
      </c>
      <c r="W186" s="6" t="s">
        <v>152</v>
      </c>
      <c r="X186" s="6" t="s">
        <v>152</v>
      </c>
      <c r="Y186" s="6" t="s">
        <v>152</v>
      </c>
      <c r="Z186" s="6" t="s">
        <v>152</v>
      </c>
      <c r="AA186" s="6" t="s">
        <v>152</v>
      </c>
      <c r="AB186" s="9" t="s">
        <v>165</v>
      </c>
      <c r="AC186" s="9" t="s">
        <v>165</v>
      </c>
      <c r="AD186" s="9" t="s">
        <v>165</v>
      </c>
      <c r="AE186" s="9" t="s">
        <v>165</v>
      </c>
      <c r="AF186" s="6" t="s">
        <v>152</v>
      </c>
      <c r="AG186" s="6" t="s">
        <v>152</v>
      </c>
      <c r="AH186" s="6" t="s">
        <v>152</v>
      </c>
      <c r="AI186" s="6" t="s">
        <v>152</v>
      </c>
      <c r="AJ186" s="6" t="s">
        <v>152</v>
      </c>
      <c r="AK186" s="6" t="s">
        <v>152</v>
      </c>
      <c r="AL186" s="6" t="s">
        <v>152</v>
      </c>
      <c r="AM186" s="9" t="s">
        <v>165</v>
      </c>
      <c r="AN186" s="6" t="s">
        <v>152</v>
      </c>
      <c r="AO186" s="6" t="s">
        <v>152</v>
      </c>
      <c r="AP186" s="6" t="s">
        <v>152</v>
      </c>
      <c r="AQ186" s="6" t="s">
        <v>152</v>
      </c>
      <c r="AR186" s="6" t="s">
        <v>152</v>
      </c>
    </row>
    <row r="187" spans="1:44" x14ac:dyDescent="0.2">
      <c r="A187" s="1" t="str">
        <f ca="1">IFERROR(__xludf.DUMMYFUNCTION("""COMPUTED_VALUE"""),"Vulture")</f>
        <v>Vulture</v>
      </c>
      <c r="B187" s="6" t="s">
        <v>152</v>
      </c>
      <c r="C187" s="6" t="s">
        <v>152</v>
      </c>
      <c r="D187" s="6" t="s">
        <v>152</v>
      </c>
      <c r="E187" s="6" t="s">
        <v>152</v>
      </c>
      <c r="F187" s="6" t="s">
        <v>152</v>
      </c>
      <c r="G187" s="6" t="s">
        <v>152</v>
      </c>
      <c r="H187" s="6" t="s">
        <v>152</v>
      </c>
      <c r="I187" s="6" t="s">
        <v>152</v>
      </c>
      <c r="J187" s="6" t="s">
        <v>152</v>
      </c>
      <c r="K187" s="6" t="s">
        <v>152</v>
      </c>
      <c r="L187" s="6" t="s">
        <v>152</v>
      </c>
      <c r="M187" s="6" t="s">
        <v>152</v>
      </c>
      <c r="N187" s="6" t="s">
        <v>152</v>
      </c>
      <c r="O187" s="6" t="s">
        <v>152</v>
      </c>
      <c r="P187" s="6" t="s">
        <v>152</v>
      </c>
      <c r="Q187" s="6" t="s">
        <v>152</v>
      </c>
      <c r="R187" s="6" t="s">
        <v>152</v>
      </c>
      <c r="S187" s="6" t="s">
        <v>152</v>
      </c>
      <c r="T187" s="9" t="s">
        <v>165</v>
      </c>
      <c r="U187" s="6" t="s">
        <v>152</v>
      </c>
      <c r="V187" s="6" t="s">
        <v>152</v>
      </c>
      <c r="W187" s="6" t="s">
        <v>152</v>
      </c>
      <c r="X187" s="6" t="s">
        <v>152</v>
      </c>
      <c r="Y187" s="6" t="s">
        <v>152</v>
      </c>
      <c r="Z187" s="9" t="s">
        <v>165</v>
      </c>
      <c r="AA187" s="6" t="s">
        <v>152</v>
      </c>
      <c r="AB187" s="9" t="s">
        <v>165</v>
      </c>
      <c r="AC187" s="6" t="s">
        <v>152</v>
      </c>
      <c r="AD187" s="6" t="s">
        <v>152</v>
      </c>
      <c r="AE187" s="6" t="s">
        <v>152</v>
      </c>
      <c r="AF187" s="6" t="s">
        <v>152</v>
      </c>
      <c r="AG187" s="6" t="s">
        <v>152</v>
      </c>
      <c r="AH187" s="6" t="s">
        <v>152</v>
      </c>
      <c r="AI187" s="6" t="s">
        <v>152</v>
      </c>
      <c r="AJ187" s="6" t="s">
        <v>152</v>
      </c>
      <c r="AK187" s="9" t="s">
        <v>165</v>
      </c>
      <c r="AL187" s="6" t="s">
        <v>152</v>
      </c>
      <c r="AM187" s="6" t="s">
        <v>152</v>
      </c>
      <c r="AN187" s="6" t="s">
        <v>152</v>
      </c>
      <c r="AO187" s="6" t="s">
        <v>152</v>
      </c>
      <c r="AP187" s="6" t="s">
        <v>152</v>
      </c>
      <c r="AQ187" s="6" t="s">
        <v>152</v>
      </c>
      <c r="AR187" s="6" t="s">
        <v>152</v>
      </c>
    </row>
    <row r="188" spans="1:44" x14ac:dyDescent="0.2">
      <c r="A188" s="1" t="str">
        <f ca="1">IFERROR(__xludf.DUMMYFUNCTION("""COMPUTED_VALUE"""),"War Machine")</f>
        <v>War Machine</v>
      </c>
      <c r="B188" s="6" t="s">
        <v>152</v>
      </c>
      <c r="C188" s="6" t="s">
        <v>152</v>
      </c>
      <c r="D188" s="6" t="s">
        <v>152</v>
      </c>
      <c r="E188" s="6" t="s">
        <v>152</v>
      </c>
      <c r="F188" s="6" t="s">
        <v>152</v>
      </c>
      <c r="G188" s="6" t="s">
        <v>152</v>
      </c>
      <c r="H188" s="6" t="s">
        <v>152</v>
      </c>
      <c r="I188" s="6" t="s">
        <v>152</v>
      </c>
      <c r="J188" s="6" t="s">
        <v>152</v>
      </c>
      <c r="K188" s="6" t="s">
        <v>152</v>
      </c>
      <c r="L188" s="6" t="s">
        <v>152</v>
      </c>
      <c r="M188" s="6" t="s">
        <v>152</v>
      </c>
      <c r="N188" s="6" t="s">
        <v>152</v>
      </c>
      <c r="O188" s="6" t="s">
        <v>152</v>
      </c>
      <c r="P188" s="6" t="s">
        <v>152</v>
      </c>
      <c r="Q188" s="6" t="s">
        <v>152</v>
      </c>
      <c r="R188" s="6" t="s">
        <v>152</v>
      </c>
      <c r="S188" s="6" t="s">
        <v>152</v>
      </c>
      <c r="T188" s="6" t="s">
        <v>152</v>
      </c>
      <c r="U188" s="6" t="s">
        <v>152</v>
      </c>
      <c r="V188" s="6" t="s">
        <v>152</v>
      </c>
      <c r="W188" s="6" t="s">
        <v>152</v>
      </c>
      <c r="X188" s="6" t="s">
        <v>152</v>
      </c>
      <c r="Y188" s="6" t="s">
        <v>152</v>
      </c>
      <c r="Z188" s="6" t="s">
        <v>152</v>
      </c>
      <c r="AA188" s="6" t="s">
        <v>152</v>
      </c>
      <c r="AB188" s="9" t="s">
        <v>165</v>
      </c>
      <c r="AC188" s="6" t="s">
        <v>152</v>
      </c>
      <c r="AD188" s="6" t="s">
        <v>152</v>
      </c>
      <c r="AE188" s="6" t="s">
        <v>152</v>
      </c>
      <c r="AF188" s="6" t="s">
        <v>152</v>
      </c>
      <c r="AG188" s="6" t="s">
        <v>152</v>
      </c>
      <c r="AH188" s="6" t="s">
        <v>152</v>
      </c>
      <c r="AI188" s="6" t="s">
        <v>152</v>
      </c>
      <c r="AJ188" s="6" t="s">
        <v>152</v>
      </c>
      <c r="AK188" s="6" t="s">
        <v>152</v>
      </c>
      <c r="AL188" s="6" t="s">
        <v>152</v>
      </c>
      <c r="AM188" s="6" t="s">
        <v>152</v>
      </c>
      <c r="AN188" s="6" t="s">
        <v>152</v>
      </c>
      <c r="AO188" s="6" t="s">
        <v>152</v>
      </c>
      <c r="AP188" s="6" t="s">
        <v>152</v>
      </c>
      <c r="AQ188" s="6" t="s">
        <v>152</v>
      </c>
      <c r="AR188" s="6" t="s">
        <v>152</v>
      </c>
    </row>
    <row r="189" spans="1:44" x14ac:dyDescent="0.2">
      <c r="A189" s="1" t="str">
        <f ca="1">IFERROR(__xludf.DUMMYFUNCTION("""COMPUTED_VALUE"""),"Warlock")</f>
        <v>Warlock</v>
      </c>
      <c r="B189" s="6" t="s">
        <v>152</v>
      </c>
      <c r="C189" s="6" t="s">
        <v>152</v>
      </c>
      <c r="D189" s="6" t="s">
        <v>152</v>
      </c>
      <c r="E189" s="6" t="s">
        <v>152</v>
      </c>
      <c r="F189" s="9" t="s">
        <v>165</v>
      </c>
      <c r="G189" s="6" t="s">
        <v>152</v>
      </c>
      <c r="H189" s="9" t="s">
        <v>165</v>
      </c>
      <c r="I189" s="6" t="s">
        <v>152</v>
      </c>
      <c r="J189" s="6" t="s">
        <v>152</v>
      </c>
      <c r="K189" s="6" t="s">
        <v>152</v>
      </c>
      <c r="L189" s="6" t="s">
        <v>152</v>
      </c>
      <c r="M189" s="6" t="s">
        <v>152</v>
      </c>
      <c r="N189" s="6" t="s">
        <v>152</v>
      </c>
      <c r="O189" s="6" t="s">
        <v>152</v>
      </c>
      <c r="P189" s="6" t="s">
        <v>152</v>
      </c>
      <c r="Q189" s="6" t="s">
        <v>152</v>
      </c>
      <c r="R189" s="9" t="s">
        <v>165</v>
      </c>
      <c r="S189" s="6" t="s">
        <v>152</v>
      </c>
      <c r="T189" s="6" t="s">
        <v>152</v>
      </c>
      <c r="U189" s="6" t="s">
        <v>152</v>
      </c>
      <c r="V189" s="6" t="s">
        <v>152</v>
      </c>
      <c r="W189" s="6" t="s">
        <v>152</v>
      </c>
      <c r="X189" s="6" t="s">
        <v>152</v>
      </c>
      <c r="Y189" s="6" t="s">
        <v>152</v>
      </c>
      <c r="Z189" s="6" t="s">
        <v>152</v>
      </c>
      <c r="AA189" s="6" t="s">
        <v>152</v>
      </c>
      <c r="AB189" s="9" t="s">
        <v>165</v>
      </c>
      <c r="AC189" s="6" t="s">
        <v>152</v>
      </c>
      <c r="AD189" s="6" t="s">
        <v>152</v>
      </c>
      <c r="AE189" s="6" t="s">
        <v>152</v>
      </c>
      <c r="AF189" s="6" t="s">
        <v>152</v>
      </c>
      <c r="AG189" s="6" t="s">
        <v>152</v>
      </c>
      <c r="AH189" s="6" t="s">
        <v>152</v>
      </c>
      <c r="AI189" s="6" t="s">
        <v>152</v>
      </c>
      <c r="AJ189" s="6" t="s">
        <v>152</v>
      </c>
      <c r="AK189" s="6" t="s">
        <v>152</v>
      </c>
      <c r="AL189" s="6" t="s">
        <v>152</v>
      </c>
      <c r="AM189" s="6" t="s">
        <v>152</v>
      </c>
      <c r="AN189" s="6" t="s">
        <v>152</v>
      </c>
      <c r="AO189" s="6" t="s">
        <v>152</v>
      </c>
      <c r="AP189" s="6" t="s">
        <v>152</v>
      </c>
      <c r="AQ189" s="6" t="s">
        <v>152</v>
      </c>
      <c r="AR189" s="6" t="s">
        <v>152</v>
      </c>
    </row>
    <row r="190" spans="1:44" x14ac:dyDescent="0.2">
      <c r="A190" s="1" t="str">
        <f ca="1">IFERROR(__xludf.DUMMYFUNCTION("""COMPUTED_VALUE"""),"Werewolf By Night")</f>
        <v>Werewolf By Night</v>
      </c>
      <c r="B190" s="6" t="s">
        <v>152</v>
      </c>
      <c r="C190" s="6" t="s">
        <v>152</v>
      </c>
      <c r="D190" s="6" t="s">
        <v>152</v>
      </c>
      <c r="E190" s="6" t="s">
        <v>152</v>
      </c>
      <c r="F190" s="6" t="s">
        <v>152</v>
      </c>
      <c r="G190" s="6" t="s">
        <v>152</v>
      </c>
      <c r="H190" s="6" t="s">
        <v>152</v>
      </c>
      <c r="I190" s="6" t="s">
        <v>152</v>
      </c>
      <c r="J190" s="6" t="s">
        <v>152</v>
      </c>
      <c r="K190" s="6" t="s">
        <v>152</v>
      </c>
      <c r="L190" s="6" t="s">
        <v>152</v>
      </c>
      <c r="M190" s="6" t="s">
        <v>152</v>
      </c>
      <c r="N190" s="6" t="s">
        <v>152</v>
      </c>
      <c r="O190" s="6" t="s">
        <v>152</v>
      </c>
      <c r="P190" s="6" t="s">
        <v>152</v>
      </c>
      <c r="Q190" s="6" t="s">
        <v>152</v>
      </c>
      <c r="R190" s="6" t="s">
        <v>152</v>
      </c>
      <c r="S190" s="9" t="s">
        <v>165</v>
      </c>
      <c r="T190" s="6" t="s">
        <v>152</v>
      </c>
      <c r="U190" s="6" t="s">
        <v>152</v>
      </c>
      <c r="V190" s="6" t="s">
        <v>152</v>
      </c>
      <c r="W190" s="6" t="s">
        <v>152</v>
      </c>
      <c r="X190" s="6" t="s">
        <v>152</v>
      </c>
      <c r="Y190" s="6" t="s">
        <v>152</v>
      </c>
      <c r="Z190" s="6" t="s">
        <v>152</v>
      </c>
      <c r="AA190" s="6" t="s">
        <v>152</v>
      </c>
      <c r="AB190" s="6" t="s">
        <v>152</v>
      </c>
      <c r="AC190" s="6" t="s">
        <v>152</v>
      </c>
      <c r="AD190" s="6" t="s">
        <v>152</v>
      </c>
      <c r="AE190" s="6" t="s">
        <v>152</v>
      </c>
      <c r="AF190" s="6" t="s">
        <v>152</v>
      </c>
      <c r="AG190" s="6" t="s">
        <v>152</v>
      </c>
      <c r="AH190" s="6" t="s">
        <v>152</v>
      </c>
      <c r="AI190" s="6" t="s">
        <v>152</v>
      </c>
      <c r="AJ190" s="6" t="s">
        <v>152</v>
      </c>
      <c r="AK190" s="6" t="s">
        <v>152</v>
      </c>
      <c r="AL190" s="6" t="s">
        <v>152</v>
      </c>
      <c r="AM190" s="6" t="s">
        <v>152</v>
      </c>
      <c r="AN190" s="6" t="s">
        <v>152</v>
      </c>
      <c r="AO190" s="6" t="s">
        <v>152</v>
      </c>
      <c r="AP190" s="6" t="s">
        <v>152</v>
      </c>
      <c r="AQ190" s="6" t="s">
        <v>152</v>
      </c>
      <c r="AR190" s="6" t="s">
        <v>152</v>
      </c>
    </row>
    <row r="191" spans="1:44" x14ac:dyDescent="0.2">
      <c r="A191" s="1" t="str">
        <f ca="1">IFERROR(__xludf.DUMMYFUNCTION("""COMPUTED_VALUE"""),"White Tiger")</f>
        <v>White Tiger</v>
      </c>
      <c r="B191" s="6" t="s">
        <v>152</v>
      </c>
      <c r="C191" s="6" t="s">
        <v>152</v>
      </c>
      <c r="D191" s="6" t="s">
        <v>152</v>
      </c>
      <c r="E191" s="6" t="s">
        <v>152</v>
      </c>
      <c r="F191" s="6" t="s">
        <v>152</v>
      </c>
      <c r="G191" s="6" t="s">
        <v>152</v>
      </c>
      <c r="H191" s="6" t="s">
        <v>152</v>
      </c>
      <c r="I191" s="6" t="s">
        <v>152</v>
      </c>
      <c r="J191" s="6" t="s">
        <v>152</v>
      </c>
      <c r="K191" s="6" t="s">
        <v>152</v>
      </c>
      <c r="L191" s="6" t="s">
        <v>152</v>
      </c>
      <c r="M191" s="6" t="s">
        <v>152</v>
      </c>
      <c r="N191" s="6" t="s">
        <v>152</v>
      </c>
      <c r="O191" s="6" t="s">
        <v>152</v>
      </c>
      <c r="P191" s="6" t="s">
        <v>152</v>
      </c>
      <c r="Q191" s="6" t="s">
        <v>152</v>
      </c>
      <c r="R191" s="6" t="s">
        <v>152</v>
      </c>
      <c r="S191" s="6" t="s">
        <v>152</v>
      </c>
      <c r="T191" s="6" t="s">
        <v>152</v>
      </c>
      <c r="U191" s="6" t="s">
        <v>152</v>
      </c>
      <c r="V191" s="6" t="s">
        <v>152</v>
      </c>
      <c r="W191" s="6" t="s">
        <v>152</v>
      </c>
      <c r="X191" s="6" t="s">
        <v>152</v>
      </c>
      <c r="Y191" s="6" t="s">
        <v>152</v>
      </c>
      <c r="Z191" s="9" t="s">
        <v>165</v>
      </c>
      <c r="AA191" s="6" t="s">
        <v>152</v>
      </c>
      <c r="AB191" s="6" t="s">
        <v>152</v>
      </c>
      <c r="AC191" s="6" t="s">
        <v>152</v>
      </c>
      <c r="AD191" s="6" t="s">
        <v>152</v>
      </c>
      <c r="AE191" s="6" t="s">
        <v>152</v>
      </c>
      <c r="AF191" s="6" t="s">
        <v>152</v>
      </c>
      <c r="AG191" s="6" t="s">
        <v>152</v>
      </c>
      <c r="AH191" s="6" t="s">
        <v>152</v>
      </c>
      <c r="AI191" s="6" t="s">
        <v>152</v>
      </c>
      <c r="AJ191" s="6" t="s">
        <v>152</v>
      </c>
      <c r="AK191" s="6" t="s">
        <v>152</v>
      </c>
      <c r="AL191" s="6" t="s">
        <v>152</v>
      </c>
      <c r="AM191" s="6" t="s">
        <v>152</v>
      </c>
      <c r="AN191" s="6" t="s">
        <v>152</v>
      </c>
      <c r="AO191" s="6" t="s">
        <v>152</v>
      </c>
      <c r="AP191" s="6" t="s">
        <v>152</v>
      </c>
      <c r="AQ191" s="6" t="s">
        <v>152</v>
      </c>
      <c r="AR191" s="6" t="s">
        <v>152</v>
      </c>
    </row>
    <row r="192" spans="1:44" x14ac:dyDescent="0.2">
      <c r="A192" s="1" t="str">
        <f ca="1">IFERROR(__xludf.DUMMYFUNCTION("""COMPUTED_VALUE"""),"Wiccan")</f>
        <v>Wiccan</v>
      </c>
      <c r="B192" s="6" t="s">
        <v>152</v>
      </c>
      <c r="C192" s="9" t="s">
        <v>165</v>
      </c>
      <c r="D192" s="6" t="s">
        <v>152</v>
      </c>
      <c r="E192" s="6" t="s">
        <v>152</v>
      </c>
      <c r="F192" s="6" t="s">
        <v>152</v>
      </c>
      <c r="G192" s="6" t="s">
        <v>152</v>
      </c>
      <c r="H192" s="6" t="s">
        <v>152</v>
      </c>
      <c r="I192" s="6" t="s">
        <v>152</v>
      </c>
      <c r="J192" s="6" t="s">
        <v>152</v>
      </c>
      <c r="K192" s="6" t="s">
        <v>152</v>
      </c>
      <c r="L192" s="6" t="s">
        <v>152</v>
      </c>
      <c r="M192" s="6" t="s">
        <v>152</v>
      </c>
      <c r="N192" s="6" t="s">
        <v>152</v>
      </c>
      <c r="O192" s="6" t="s">
        <v>152</v>
      </c>
      <c r="P192" s="9" t="s">
        <v>165</v>
      </c>
      <c r="Q192" s="6" t="s">
        <v>152</v>
      </c>
      <c r="R192" s="6" t="s">
        <v>152</v>
      </c>
      <c r="S192" s="6" t="s">
        <v>152</v>
      </c>
      <c r="T192" s="6" t="s">
        <v>152</v>
      </c>
      <c r="U192" s="6" t="s">
        <v>152</v>
      </c>
      <c r="V192" s="6" t="s">
        <v>152</v>
      </c>
      <c r="W192" s="6" t="s">
        <v>152</v>
      </c>
      <c r="X192" s="6" t="s">
        <v>152</v>
      </c>
      <c r="Y192" s="6" t="s">
        <v>152</v>
      </c>
      <c r="Z192" s="9" t="s">
        <v>165</v>
      </c>
      <c r="AA192" s="6" t="s">
        <v>152</v>
      </c>
      <c r="AB192" s="6" t="s">
        <v>152</v>
      </c>
      <c r="AC192" s="6" t="s">
        <v>152</v>
      </c>
      <c r="AD192" s="6" t="s">
        <v>152</v>
      </c>
      <c r="AE192" s="6" t="s">
        <v>152</v>
      </c>
      <c r="AF192" s="6" t="s">
        <v>152</v>
      </c>
      <c r="AG192" s="6" t="s">
        <v>152</v>
      </c>
      <c r="AH192" s="6" t="s">
        <v>152</v>
      </c>
      <c r="AI192" s="9" t="s">
        <v>165</v>
      </c>
      <c r="AJ192" s="6" t="s">
        <v>152</v>
      </c>
      <c r="AK192" s="6" t="s">
        <v>152</v>
      </c>
      <c r="AL192" s="6" t="s">
        <v>152</v>
      </c>
      <c r="AM192" s="6" t="s">
        <v>152</v>
      </c>
      <c r="AN192" s="6" t="s">
        <v>152</v>
      </c>
      <c r="AO192" s="6" t="s">
        <v>152</v>
      </c>
      <c r="AP192" s="9" t="s">
        <v>165</v>
      </c>
      <c r="AQ192" s="6" t="s">
        <v>152</v>
      </c>
      <c r="AR192" s="6" t="s">
        <v>152</v>
      </c>
    </row>
    <row r="193" spans="1:44" x14ac:dyDescent="0.2">
      <c r="A193" s="1" t="str">
        <f ca="1">IFERROR(__xludf.DUMMYFUNCTION("""COMPUTED_VALUE"""),"Wolverine (Weapon X)")</f>
        <v>Wolverine (Weapon X)</v>
      </c>
      <c r="B193" s="6" t="s">
        <v>152</v>
      </c>
      <c r="C193" s="6" t="s">
        <v>152</v>
      </c>
      <c r="D193" s="6" t="s">
        <v>152</v>
      </c>
      <c r="E193" s="6" t="s">
        <v>152</v>
      </c>
      <c r="F193" s="6" t="s">
        <v>152</v>
      </c>
      <c r="G193" s="6" t="s">
        <v>152</v>
      </c>
      <c r="H193" s="6" t="s">
        <v>152</v>
      </c>
      <c r="I193" s="6" t="s">
        <v>152</v>
      </c>
      <c r="J193" s="6" t="s">
        <v>152</v>
      </c>
      <c r="K193" s="6" t="s">
        <v>152</v>
      </c>
      <c r="L193" s="6" t="s">
        <v>152</v>
      </c>
      <c r="M193" s="6" t="s">
        <v>152</v>
      </c>
      <c r="N193" s="6" t="s">
        <v>152</v>
      </c>
      <c r="O193" s="6" t="s">
        <v>152</v>
      </c>
      <c r="P193" s="6" t="s">
        <v>152</v>
      </c>
      <c r="Q193" s="6" t="s">
        <v>152</v>
      </c>
      <c r="R193" s="6" t="s">
        <v>152</v>
      </c>
      <c r="S193" s="6" t="s">
        <v>152</v>
      </c>
      <c r="T193" s="6" t="s">
        <v>152</v>
      </c>
      <c r="U193" s="6" t="s">
        <v>152</v>
      </c>
      <c r="V193" s="6" t="s">
        <v>152</v>
      </c>
      <c r="W193" s="6" t="s">
        <v>152</v>
      </c>
      <c r="X193" s="6" t="s">
        <v>152</v>
      </c>
      <c r="Y193" s="6" t="s">
        <v>152</v>
      </c>
      <c r="Z193" s="6" t="s">
        <v>152</v>
      </c>
      <c r="AA193" s="9" t="s">
        <v>165</v>
      </c>
      <c r="AB193" s="6" t="s">
        <v>152</v>
      </c>
      <c r="AC193" s="6" t="s">
        <v>152</v>
      </c>
      <c r="AD193" s="6" t="s">
        <v>152</v>
      </c>
      <c r="AE193" s="6" t="s">
        <v>152</v>
      </c>
      <c r="AF193" s="6" t="s">
        <v>152</v>
      </c>
      <c r="AG193" s="6" t="s">
        <v>152</v>
      </c>
      <c r="AH193" s="6" t="s">
        <v>152</v>
      </c>
      <c r="AI193" s="6" t="s">
        <v>152</v>
      </c>
      <c r="AJ193" s="6" t="s">
        <v>152</v>
      </c>
      <c r="AK193" s="6" t="s">
        <v>152</v>
      </c>
      <c r="AL193" s="6" t="s">
        <v>152</v>
      </c>
      <c r="AM193" s="6" t="s">
        <v>152</v>
      </c>
      <c r="AN193" s="6" t="s">
        <v>152</v>
      </c>
      <c r="AO193" s="6" t="s">
        <v>152</v>
      </c>
      <c r="AP193" s="6" t="s">
        <v>152</v>
      </c>
      <c r="AQ193" s="6" t="s">
        <v>152</v>
      </c>
      <c r="AR193" s="6" t="s">
        <v>152</v>
      </c>
    </row>
    <row r="194" spans="1:44" x14ac:dyDescent="0.2">
      <c r="A194" s="1" t="str">
        <f ca="1">IFERROR(__xludf.DUMMYFUNCTION("""COMPUTED_VALUE"""),"Wong")</f>
        <v>Wong</v>
      </c>
      <c r="B194" s="6" t="s">
        <v>152</v>
      </c>
      <c r="C194" s="6" t="s">
        <v>152</v>
      </c>
      <c r="D194" s="6" t="s">
        <v>152</v>
      </c>
      <c r="E194" s="6" t="s">
        <v>152</v>
      </c>
      <c r="F194" s="6" t="s">
        <v>152</v>
      </c>
      <c r="G194" s="6" t="s">
        <v>152</v>
      </c>
      <c r="H194" s="6" t="s">
        <v>152</v>
      </c>
      <c r="I194" s="6" t="s">
        <v>152</v>
      </c>
      <c r="J194" s="6" t="s">
        <v>152</v>
      </c>
      <c r="K194" s="6" t="s">
        <v>152</v>
      </c>
      <c r="L194" s="6" t="s">
        <v>152</v>
      </c>
      <c r="M194" s="6" t="s">
        <v>152</v>
      </c>
      <c r="N194" s="6" t="s">
        <v>152</v>
      </c>
      <c r="O194" s="6" t="s">
        <v>152</v>
      </c>
      <c r="P194" s="9" t="s">
        <v>165</v>
      </c>
      <c r="Q194" s="6" t="s">
        <v>152</v>
      </c>
      <c r="R194" s="6" t="s">
        <v>152</v>
      </c>
      <c r="S194" s="6" t="s">
        <v>152</v>
      </c>
      <c r="T194" s="6" t="s">
        <v>152</v>
      </c>
      <c r="U194" s="6" t="s">
        <v>152</v>
      </c>
      <c r="V194" s="6" t="s">
        <v>152</v>
      </c>
      <c r="W194" s="6" t="s">
        <v>152</v>
      </c>
      <c r="X194" s="6" t="s">
        <v>152</v>
      </c>
      <c r="Y194" s="6" t="s">
        <v>152</v>
      </c>
      <c r="Z194" s="9" t="s">
        <v>165</v>
      </c>
      <c r="AA194" s="6" t="s">
        <v>152</v>
      </c>
      <c r="AB194" s="6" t="s">
        <v>152</v>
      </c>
      <c r="AC194" s="6" t="s">
        <v>152</v>
      </c>
      <c r="AD194" s="6" t="s">
        <v>152</v>
      </c>
      <c r="AE194" s="6" t="s">
        <v>152</v>
      </c>
      <c r="AF194" s="6" t="s">
        <v>152</v>
      </c>
      <c r="AG194" s="6" t="s">
        <v>152</v>
      </c>
      <c r="AH194" s="6" t="s">
        <v>152</v>
      </c>
      <c r="AI194" s="6" t="s">
        <v>152</v>
      </c>
      <c r="AJ194" s="6" t="s">
        <v>152</v>
      </c>
      <c r="AK194" s="6" t="s">
        <v>152</v>
      </c>
      <c r="AL194" s="6" t="s">
        <v>152</v>
      </c>
      <c r="AM194" s="6" t="s">
        <v>152</v>
      </c>
      <c r="AN194" s="6" t="s">
        <v>152</v>
      </c>
      <c r="AO194" s="6" t="s">
        <v>152</v>
      </c>
      <c r="AP194" s="6" t="s">
        <v>152</v>
      </c>
      <c r="AQ194" s="6" t="s">
        <v>152</v>
      </c>
      <c r="AR194" s="6" t="s">
        <v>152</v>
      </c>
    </row>
    <row r="195" spans="1:44" x14ac:dyDescent="0.2">
      <c r="A195" s="1" t="str">
        <f ca="1">IFERROR(__xludf.DUMMYFUNCTION("""COMPUTED_VALUE"""),"Yelena Belova")</f>
        <v>Yelena Belova</v>
      </c>
      <c r="B195" s="6" t="s">
        <v>152</v>
      </c>
      <c r="C195" s="6" t="s">
        <v>152</v>
      </c>
      <c r="D195" s="6" t="s">
        <v>152</v>
      </c>
      <c r="E195" s="6" t="s">
        <v>152</v>
      </c>
      <c r="F195" s="6" t="s">
        <v>152</v>
      </c>
      <c r="G195" s="6" t="s">
        <v>152</v>
      </c>
      <c r="H195" s="6" t="s">
        <v>152</v>
      </c>
      <c r="I195" s="6" t="s">
        <v>152</v>
      </c>
      <c r="J195" s="6" t="s">
        <v>152</v>
      </c>
      <c r="K195" s="6" t="s">
        <v>152</v>
      </c>
      <c r="L195" s="6" t="s">
        <v>152</v>
      </c>
      <c r="M195" s="6" t="s">
        <v>152</v>
      </c>
      <c r="N195" s="6" t="s">
        <v>152</v>
      </c>
      <c r="O195" s="6" t="s">
        <v>152</v>
      </c>
      <c r="P195" s="6" t="s">
        <v>152</v>
      </c>
      <c r="Q195" s="6" t="s">
        <v>152</v>
      </c>
      <c r="R195" s="6" t="s">
        <v>152</v>
      </c>
      <c r="S195" s="6" t="s">
        <v>152</v>
      </c>
      <c r="T195" s="6" t="s">
        <v>152</v>
      </c>
      <c r="U195" s="6" t="s">
        <v>152</v>
      </c>
      <c r="V195" s="6" t="s">
        <v>152</v>
      </c>
      <c r="W195" s="6" t="s">
        <v>152</v>
      </c>
      <c r="X195" s="6" t="s">
        <v>152</v>
      </c>
      <c r="Y195" s="6" t="s">
        <v>152</v>
      </c>
      <c r="Z195" s="6" t="s">
        <v>152</v>
      </c>
      <c r="AA195" s="6" t="s">
        <v>152</v>
      </c>
      <c r="AB195" s="9" t="s">
        <v>165</v>
      </c>
      <c r="AC195" s="6" t="s">
        <v>152</v>
      </c>
      <c r="AD195" s="6" t="s">
        <v>152</v>
      </c>
      <c r="AE195" s="6" t="s">
        <v>152</v>
      </c>
      <c r="AF195" s="6" t="s">
        <v>152</v>
      </c>
      <c r="AG195" s="6" t="s">
        <v>152</v>
      </c>
      <c r="AH195" s="6" t="s">
        <v>152</v>
      </c>
      <c r="AI195" s="6" t="s">
        <v>152</v>
      </c>
      <c r="AJ195" s="6" t="s">
        <v>152</v>
      </c>
      <c r="AK195" s="6" t="s">
        <v>152</v>
      </c>
      <c r="AL195" s="6" t="s">
        <v>152</v>
      </c>
      <c r="AM195" s="6" t="s">
        <v>152</v>
      </c>
      <c r="AN195" s="6" t="s">
        <v>152</v>
      </c>
      <c r="AO195" s="6" t="s">
        <v>152</v>
      </c>
      <c r="AP195" s="6" t="s">
        <v>152</v>
      </c>
      <c r="AQ195" s="6" t="s">
        <v>152</v>
      </c>
      <c r="AR195" s="6" t="s">
        <v>152</v>
      </c>
    </row>
    <row r="196" spans="1:44" x14ac:dyDescent="0.2">
      <c r="A196" s="1" t="str">
        <f ca="1">IFERROR(__xludf.DUMMYFUNCTION("""COMPUTED_VALUE"""),"Yellow Jacket")</f>
        <v>Yellow Jacket</v>
      </c>
      <c r="B196" s="6" t="s">
        <v>152</v>
      </c>
      <c r="C196" s="6" t="s">
        <v>152</v>
      </c>
      <c r="D196" s="6" t="s">
        <v>152</v>
      </c>
      <c r="E196" s="6" t="s">
        <v>152</v>
      </c>
      <c r="F196" s="6" t="s">
        <v>152</v>
      </c>
      <c r="G196" s="6" t="s">
        <v>152</v>
      </c>
      <c r="H196" s="6" t="s">
        <v>152</v>
      </c>
      <c r="I196" s="6" t="s">
        <v>152</v>
      </c>
      <c r="J196" s="6" t="s">
        <v>152</v>
      </c>
      <c r="K196" s="6" t="s">
        <v>152</v>
      </c>
      <c r="L196" s="6" t="s">
        <v>152</v>
      </c>
      <c r="M196" s="6" t="s">
        <v>152</v>
      </c>
      <c r="N196" s="6" t="s">
        <v>152</v>
      </c>
      <c r="O196" s="6" t="s">
        <v>152</v>
      </c>
      <c r="P196" s="6" t="s">
        <v>152</v>
      </c>
      <c r="Q196" s="6" t="s">
        <v>152</v>
      </c>
      <c r="R196" s="6" t="s">
        <v>152</v>
      </c>
      <c r="S196" s="6" t="s">
        <v>152</v>
      </c>
      <c r="T196" s="6" t="s">
        <v>152</v>
      </c>
      <c r="U196" s="6" t="s">
        <v>152</v>
      </c>
      <c r="V196" s="6" t="s">
        <v>152</v>
      </c>
      <c r="W196" s="6" t="s">
        <v>152</v>
      </c>
      <c r="X196" s="6" t="s">
        <v>152</v>
      </c>
      <c r="Y196" s="6" t="s">
        <v>152</v>
      </c>
      <c r="Z196" s="6" t="s">
        <v>152</v>
      </c>
      <c r="AA196" s="6" t="s">
        <v>152</v>
      </c>
      <c r="AB196" s="6" t="s">
        <v>152</v>
      </c>
      <c r="AC196" s="6" t="s">
        <v>152</v>
      </c>
      <c r="AD196" s="6" t="s">
        <v>152</v>
      </c>
      <c r="AE196" s="6" t="s">
        <v>152</v>
      </c>
      <c r="AF196" s="6" t="s">
        <v>152</v>
      </c>
      <c r="AG196" s="6" t="s">
        <v>152</v>
      </c>
      <c r="AH196" s="6" t="s">
        <v>152</v>
      </c>
      <c r="AI196" s="6" t="s">
        <v>152</v>
      </c>
      <c r="AJ196" s="6" t="s">
        <v>152</v>
      </c>
      <c r="AK196" s="9" t="s">
        <v>165</v>
      </c>
      <c r="AL196" s="6" t="s">
        <v>152</v>
      </c>
      <c r="AM196" s="6" t="s">
        <v>152</v>
      </c>
      <c r="AN196" s="6" t="s">
        <v>152</v>
      </c>
      <c r="AO196" s="6" t="s">
        <v>152</v>
      </c>
      <c r="AP196" s="6" t="s">
        <v>152</v>
      </c>
      <c r="AQ196" s="6" t="s">
        <v>152</v>
      </c>
      <c r="AR196" s="6" t="s">
        <v>152</v>
      </c>
    </row>
    <row r="197" spans="1:44" x14ac:dyDescent="0.2">
      <c r="A197" s="1" t="str">
        <f ca="1">IFERROR(__xludf.DUMMYFUNCTION("""COMPUTED_VALUE"""),"Yondu")</f>
        <v>Yondu</v>
      </c>
      <c r="B197" s="6" t="s">
        <v>152</v>
      </c>
      <c r="C197" s="6" t="s">
        <v>152</v>
      </c>
      <c r="D197" s="6" t="s">
        <v>152</v>
      </c>
      <c r="E197" s="6" t="s">
        <v>152</v>
      </c>
      <c r="F197" s="6" t="s">
        <v>152</v>
      </c>
      <c r="G197" s="6" t="s">
        <v>152</v>
      </c>
      <c r="H197" s="6" t="s">
        <v>152</v>
      </c>
      <c r="I197" s="9" t="s">
        <v>165</v>
      </c>
      <c r="J197" s="6" t="s">
        <v>152</v>
      </c>
      <c r="K197" s="6" t="s">
        <v>152</v>
      </c>
      <c r="L197" s="6" t="s">
        <v>152</v>
      </c>
      <c r="M197" s="6" t="s">
        <v>152</v>
      </c>
      <c r="N197" s="6" t="s">
        <v>152</v>
      </c>
      <c r="O197" s="6" t="s">
        <v>152</v>
      </c>
      <c r="P197" s="6" t="s">
        <v>152</v>
      </c>
      <c r="Q197" s="6" t="s">
        <v>152</v>
      </c>
      <c r="R197" s="6" t="s">
        <v>152</v>
      </c>
      <c r="S197" s="6" t="s">
        <v>152</v>
      </c>
      <c r="T197" s="6" t="s">
        <v>152</v>
      </c>
      <c r="U197" s="6" t="s">
        <v>152</v>
      </c>
      <c r="V197" s="6" t="s">
        <v>152</v>
      </c>
      <c r="W197" s="6" t="s">
        <v>152</v>
      </c>
      <c r="X197" s="6" t="s">
        <v>152</v>
      </c>
      <c r="Y197" s="6" t="s">
        <v>152</v>
      </c>
      <c r="Z197" s="6" t="s">
        <v>152</v>
      </c>
      <c r="AA197" s="6" t="s">
        <v>152</v>
      </c>
      <c r="AB197" s="6" t="s">
        <v>152</v>
      </c>
      <c r="AC197" s="6" t="s">
        <v>152</v>
      </c>
      <c r="AD197" s="6" t="s">
        <v>152</v>
      </c>
      <c r="AE197" s="6" t="s">
        <v>152</v>
      </c>
      <c r="AF197" s="6" t="s">
        <v>152</v>
      </c>
      <c r="AG197" s="6" t="s">
        <v>152</v>
      </c>
      <c r="AH197" s="6" t="s">
        <v>152</v>
      </c>
      <c r="AI197" s="6" t="s">
        <v>152</v>
      </c>
      <c r="AJ197" s="6" t="s">
        <v>152</v>
      </c>
      <c r="AK197" s="6" t="s">
        <v>152</v>
      </c>
      <c r="AL197" s="6" t="s">
        <v>152</v>
      </c>
      <c r="AM197" s="6" t="s">
        <v>152</v>
      </c>
      <c r="AN197" s="6" t="s">
        <v>152</v>
      </c>
      <c r="AO197" s="6" t="s">
        <v>152</v>
      </c>
      <c r="AP197" s="6" t="s">
        <v>152</v>
      </c>
      <c r="AQ197" s="6" t="s">
        <v>152</v>
      </c>
      <c r="AR197" s="6" t="s">
        <v>152</v>
      </c>
    </row>
    <row r="198" spans="1:44" x14ac:dyDescent="0.2">
      <c r="A198" s="21"/>
    </row>
    <row r="199" spans="1:44" x14ac:dyDescent="0.2">
      <c r="A199" s="21"/>
    </row>
    <row r="200" spans="1:44" x14ac:dyDescent="0.2">
      <c r="A200" s="21"/>
    </row>
    <row r="201" spans="1:44" x14ac:dyDescent="0.2">
      <c r="A201" s="21"/>
    </row>
    <row r="202" spans="1:44" x14ac:dyDescent="0.2">
      <c r="A202" s="21"/>
    </row>
    <row r="203" spans="1:44" x14ac:dyDescent="0.2">
      <c r="A203" s="21"/>
    </row>
    <row r="204" spans="1:44" x14ac:dyDescent="0.2">
      <c r="A204" s="21"/>
    </row>
    <row r="205" spans="1:44" x14ac:dyDescent="0.2">
      <c r="A205" s="21"/>
    </row>
    <row r="206" spans="1:44" x14ac:dyDescent="0.2">
      <c r="A206" s="21"/>
    </row>
    <row r="207" spans="1:44" x14ac:dyDescent="0.2">
      <c r="A207" s="21"/>
    </row>
    <row r="208" spans="1:44" x14ac:dyDescent="0.2">
      <c r="A208" s="21"/>
    </row>
    <row r="209" spans="1:1" x14ac:dyDescent="0.2">
      <c r="A209" s="21"/>
    </row>
    <row r="210" spans="1:1" x14ac:dyDescent="0.2">
      <c r="A210" s="21"/>
    </row>
    <row r="211" spans="1:1" x14ac:dyDescent="0.2">
      <c r="A211" s="21"/>
    </row>
    <row r="212" spans="1:1" x14ac:dyDescent="0.2">
      <c r="A212" s="21"/>
    </row>
    <row r="213" spans="1:1" x14ac:dyDescent="0.2">
      <c r="A213" s="21"/>
    </row>
    <row r="214" spans="1:1" x14ac:dyDescent="0.2">
      <c r="A214" s="21"/>
    </row>
    <row r="215" spans="1:1" x14ac:dyDescent="0.2">
      <c r="A215" s="21"/>
    </row>
    <row r="216" spans="1:1" x14ac:dyDescent="0.2">
      <c r="A216" s="21"/>
    </row>
    <row r="217" spans="1:1" x14ac:dyDescent="0.2">
      <c r="A217" s="21"/>
    </row>
    <row r="218" spans="1:1" x14ac:dyDescent="0.2">
      <c r="A218" s="21"/>
    </row>
    <row r="219" spans="1:1" x14ac:dyDescent="0.2">
      <c r="A219" s="21"/>
    </row>
    <row r="220" spans="1:1" x14ac:dyDescent="0.2">
      <c r="A220" s="21"/>
    </row>
    <row r="221" spans="1:1" x14ac:dyDescent="0.2">
      <c r="A221" s="21"/>
    </row>
    <row r="222" spans="1:1" x14ac:dyDescent="0.2">
      <c r="A222" s="21"/>
    </row>
    <row r="223" spans="1:1" x14ac:dyDescent="0.2">
      <c r="A223" s="21"/>
    </row>
    <row r="224" spans="1:1" x14ac:dyDescent="0.2">
      <c r="A224" s="21"/>
    </row>
    <row r="225" spans="1:1" x14ac:dyDescent="0.2">
      <c r="A225" s="21"/>
    </row>
    <row r="226" spans="1:1" x14ac:dyDescent="0.2">
      <c r="A226" s="21"/>
    </row>
    <row r="227" spans="1:1" x14ac:dyDescent="0.2">
      <c r="A227" s="21"/>
    </row>
    <row r="228" spans="1:1" x14ac:dyDescent="0.2">
      <c r="A228" s="21"/>
    </row>
    <row r="229" spans="1:1" x14ac:dyDescent="0.2">
      <c r="A229" s="21"/>
    </row>
    <row r="230" spans="1:1" x14ac:dyDescent="0.2">
      <c r="A230" s="21"/>
    </row>
    <row r="231" spans="1:1" x14ac:dyDescent="0.2">
      <c r="A231" s="21"/>
    </row>
    <row r="232" spans="1:1" x14ac:dyDescent="0.2">
      <c r="A232" s="21"/>
    </row>
    <row r="233" spans="1:1" x14ac:dyDescent="0.2">
      <c r="A233" s="21"/>
    </row>
    <row r="234" spans="1:1" x14ac:dyDescent="0.2">
      <c r="A234" s="21"/>
    </row>
    <row r="235" spans="1:1" x14ac:dyDescent="0.2">
      <c r="A235" s="21"/>
    </row>
    <row r="236" spans="1:1" x14ac:dyDescent="0.2">
      <c r="A236" s="21"/>
    </row>
    <row r="237" spans="1:1" x14ac:dyDescent="0.2">
      <c r="A237" s="21"/>
    </row>
    <row r="238" spans="1:1" x14ac:dyDescent="0.2">
      <c r="A238" s="21"/>
    </row>
    <row r="239" spans="1:1" x14ac:dyDescent="0.2">
      <c r="A239" s="21"/>
    </row>
    <row r="240" spans="1:1" x14ac:dyDescent="0.2">
      <c r="A240" s="21"/>
    </row>
    <row r="241" spans="1:1" x14ac:dyDescent="0.2">
      <c r="A241" s="21"/>
    </row>
    <row r="242" spans="1:1" x14ac:dyDescent="0.2">
      <c r="A242" s="21"/>
    </row>
    <row r="243" spans="1:1" x14ac:dyDescent="0.2">
      <c r="A243" s="21"/>
    </row>
    <row r="244" spans="1:1" x14ac:dyDescent="0.2">
      <c r="A244" s="21"/>
    </row>
    <row r="245" spans="1:1" x14ac:dyDescent="0.2">
      <c r="A245" s="21"/>
    </row>
    <row r="246" spans="1:1" x14ac:dyDescent="0.2">
      <c r="A246" s="21"/>
    </row>
    <row r="247" spans="1:1" x14ac:dyDescent="0.2">
      <c r="A247" s="21"/>
    </row>
    <row r="248" spans="1:1" x14ac:dyDescent="0.2">
      <c r="A248" s="21"/>
    </row>
    <row r="249" spans="1:1" x14ac:dyDescent="0.2">
      <c r="A249" s="21"/>
    </row>
    <row r="250" spans="1:1" x14ac:dyDescent="0.2">
      <c r="A250" s="21"/>
    </row>
    <row r="251" spans="1:1" x14ac:dyDescent="0.2">
      <c r="A251" s="21"/>
    </row>
    <row r="252" spans="1:1" x14ac:dyDescent="0.2">
      <c r="A252" s="21"/>
    </row>
    <row r="253" spans="1:1" x14ac:dyDescent="0.2">
      <c r="A253" s="21"/>
    </row>
    <row r="254" spans="1:1" x14ac:dyDescent="0.2">
      <c r="A254" s="21"/>
    </row>
    <row r="255" spans="1:1" x14ac:dyDescent="0.2">
      <c r="A255" s="21"/>
    </row>
    <row r="256" spans="1:1" x14ac:dyDescent="0.2">
      <c r="A256" s="21"/>
    </row>
    <row r="257" spans="1:1" x14ac:dyDescent="0.2">
      <c r="A257" s="21"/>
    </row>
    <row r="258" spans="1:1" x14ac:dyDescent="0.2">
      <c r="A258" s="21"/>
    </row>
    <row r="259" spans="1:1" x14ac:dyDescent="0.2">
      <c r="A259" s="21"/>
    </row>
    <row r="260" spans="1:1" x14ac:dyDescent="0.2">
      <c r="A260" s="21"/>
    </row>
    <row r="261" spans="1:1" x14ac:dyDescent="0.2">
      <c r="A261" s="21"/>
    </row>
    <row r="262" spans="1:1" x14ac:dyDescent="0.2">
      <c r="A262" s="21"/>
    </row>
    <row r="263" spans="1:1" x14ac:dyDescent="0.2">
      <c r="A263" s="21"/>
    </row>
    <row r="264" spans="1:1" x14ac:dyDescent="0.2">
      <c r="A264" s="21"/>
    </row>
    <row r="265" spans="1:1" x14ac:dyDescent="0.2">
      <c r="A265" s="21"/>
    </row>
    <row r="266" spans="1:1" x14ac:dyDescent="0.2">
      <c r="A266" s="21"/>
    </row>
    <row r="267" spans="1:1" x14ac:dyDescent="0.2">
      <c r="A267" s="21"/>
    </row>
    <row r="268" spans="1:1" x14ac:dyDescent="0.2">
      <c r="A268" s="21"/>
    </row>
    <row r="269" spans="1:1" x14ac:dyDescent="0.2">
      <c r="A269" s="21"/>
    </row>
    <row r="270" spans="1:1" x14ac:dyDescent="0.2">
      <c r="A270" s="21"/>
    </row>
    <row r="271" spans="1:1" x14ac:dyDescent="0.2">
      <c r="A271" s="21"/>
    </row>
    <row r="272" spans="1:1" x14ac:dyDescent="0.2">
      <c r="A272" s="21"/>
    </row>
    <row r="273" spans="1:1" x14ac:dyDescent="0.2">
      <c r="A273" s="21"/>
    </row>
    <row r="274" spans="1:1" x14ac:dyDescent="0.2">
      <c r="A274" s="21"/>
    </row>
    <row r="275" spans="1:1" x14ac:dyDescent="0.2">
      <c r="A275" s="21"/>
    </row>
    <row r="276" spans="1:1" x14ac:dyDescent="0.2">
      <c r="A276" s="21"/>
    </row>
    <row r="277" spans="1:1" x14ac:dyDescent="0.2">
      <c r="A277" s="21"/>
    </row>
    <row r="278" spans="1:1" x14ac:dyDescent="0.2">
      <c r="A278" s="21"/>
    </row>
    <row r="279" spans="1:1" x14ac:dyDescent="0.2">
      <c r="A279" s="21"/>
    </row>
    <row r="280" spans="1:1" x14ac:dyDescent="0.2">
      <c r="A280" s="21"/>
    </row>
    <row r="281" spans="1:1" x14ac:dyDescent="0.2">
      <c r="A281" s="21"/>
    </row>
    <row r="282" spans="1:1" x14ac:dyDescent="0.2">
      <c r="A282" s="21"/>
    </row>
    <row r="283" spans="1:1" x14ac:dyDescent="0.2">
      <c r="A283" s="21"/>
    </row>
    <row r="284" spans="1:1" x14ac:dyDescent="0.2">
      <c r="A284" s="21"/>
    </row>
    <row r="285" spans="1:1" x14ac:dyDescent="0.2">
      <c r="A285" s="21"/>
    </row>
    <row r="286" spans="1:1" x14ac:dyDescent="0.2">
      <c r="A286" s="21"/>
    </row>
    <row r="287" spans="1:1" x14ac:dyDescent="0.2">
      <c r="A287" s="21"/>
    </row>
    <row r="288" spans="1:1" x14ac:dyDescent="0.2">
      <c r="A288" s="21"/>
    </row>
    <row r="289" spans="1:1" x14ac:dyDescent="0.2">
      <c r="A289" s="21"/>
    </row>
    <row r="290" spans="1:1" x14ac:dyDescent="0.2">
      <c r="A290" s="21"/>
    </row>
    <row r="291" spans="1:1" x14ac:dyDescent="0.2">
      <c r="A291" s="21"/>
    </row>
    <row r="292" spans="1:1" x14ac:dyDescent="0.2">
      <c r="A292" s="21"/>
    </row>
    <row r="293" spans="1:1" x14ac:dyDescent="0.2">
      <c r="A293" s="21"/>
    </row>
    <row r="294" spans="1:1" x14ac:dyDescent="0.2">
      <c r="A294" s="21"/>
    </row>
    <row r="295" spans="1:1" x14ac:dyDescent="0.2">
      <c r="A295" s="21"/>
    </row>
    <row r="296" spans="1:1" x14ac:dyDescent="0.2">
      <c r="A296" s="21"/>
    </row>
    <row r="297" spans="1:1" x14ac:dyDescent="0.2">
      <c r="A297" s="21"/>
    </row>
    <row r="298" spans="1:1" x14ac:dyDescent="0.2">
      <c r="A298" s="21"/>
    </row>
    <row r="299" spans="1:1" x14ac:dyDescent="0.2">
      <c r="A299" s="21"/>
    </row>
    <row r="300" spans="1:1" x14ac:dyDescent="0.2">
      <c r="A300" s="21"/>
    </row>
    <row r="301" spans="1:1" x14ac:dyDescent="0.2">
      <c r="A301" s="21"/>
    </row>
    <row r="302" spans="1:1" x14ac:dyDescent="0.2">
      <c r="A302" s="21"/>
    </row>
    <row r="303" spans="1:1" x14ac:dyDescent="0.2">
      <c r="A303" s="21"/>
    </row>
    <row r="304" spans="1:1" x14ac:dyDescent="0.2">
      <c r="A304" s="21"/>
    </row>
    <row r="305" spans="1:1" x14ac:dyDescent="0.2">
      <c r="A305" s="21"/>
    </row>
    <row r="306" spans="1:1" x14ac:dyDescent="0.2">
      <c r="A306" s="21"/>
    </row>
    <row r="307" spans="1:1" x14ac:dyDescent="0.2">
      <c r="A307" s="21"/>
    </row>
    <row r="308" spans="1:1" x14ac:dyDescent="0.2">
      <c r="A308" s="21"/>
    </row>
    <row r="309" spans="1:1" x14ac:dyDescent="0.2">
      <c r="A309" s="21"/>
    </row>
    <row r="310" spans="1:1" x14ac:dyDescent="0.2">
      <c r="A310" s="21"/>
    </row>
    <row r="311" spans="1:1" x14ac:dyDescent="0.2">
      <c r="A311" s="21"/>
    </row>
    <row r="312" spans="1:1" x14ac:dyDescent="0.2">
      <c r="A312" s="21"/>
    </row>
    <row r="313" spans="1:1" x14ac:dyDescent="0.2">
      <c r="A313" s="21"/>
    </row>
    <row r="314" spans="1:1" x14ac:dyDescent="0.2">
      <c r="A314" s="21"/>
    </row>
    <row r="315" spans="1:1" x14ac:dyDescent="0.2">
      <c r="A315" s="21"/>
    </row>
    <row r="316" spans="1:1" x14ac:dyDescent="0.2">
      <c r="A316" s="21"/>
    </row>
    <row r="317" spans="1:1" x14ac:dyDescent="0.2">
      <c r="A317" s="21"/>
    </row>
    <row r="318" spans="1:1" x14ac:dyDescent="0.2">
      <c r="A318" s="21"/>
    </row>
    <row r="319" spans="1:1" x14ac:dyDescent="0.2">
      <c r="A319" s="21"/>
    </row>
    <row r="320" spans="1:1" x14ac:dyDescent="0.2">
      <c r="A320" s="21"/>
    </row>
    <row r="321" spans="1:1" x14ac:dyDescent="0.2">
      <c r="A321" s="21"/>
    </row>
    <row r="322" spans="1:1" x14ac:dyDescent="0.2">
      <c r="A322" s="21"/>
    </row>
    <row r="323" spans="1:1" x14ac:dyDescent="0.2">
      <c r="A323" s="21"/>
    </row>
    <row r="324" spans="1:1" x14ac:dyDescent="0.2">
      <c r="A324" s="21"/>
    </row>
    <row r="325" spans="1:1" x14ac:dyDescent="0.2">
      <c r="A325" s="21"/>
    </row>
    <row r="326" spans="1:1" x14ac:dyDescent="0.2">
      <c r="A326" s="21"/>
    </row>
    <row r="327" spans="1:1" x14ac:dyDescent="0.2">
      <c r="A327" s="21"/>
    </row>
    <row r="328" spans="1:1" x14ac:dyDescent="0.2">
      <c r="A328" s="21"/>
    </row>
    <row r="329" spans="1:1" x14ac:dyDescent="0.2">
      <c r="A329" s="21"/>
    </row>
    <row r="330" spans="1:1" x14ac:dyDescent="0.2">
      <c r="A330" s="21"/>
    </row>
    <row r="331" spans="1:1" x14ac:dyDescent="0.2">
      <c r="A331" s="21"/>
    </row>
    <row r="332" spans="1:1" x14ac:dyDescent="0.2">
      <c r="A332" s="21"/>
    </row>
    <row r="333" spans="1:1" x14ac:dyDescent="0.2">
      <c r="A333" s="21"/>
    </row>
    <row r="334" spans="1:1" x14ac:dyDescent="0.2">
      <c r="A334" s="21"/>
    </row>
    <row r="335" spans="1:1" x14ac:dyDescent="0.2">
      <c r="A335" s="21"/>
    </row>
    <row r="336" spans="1:1" x14ac:dyDescent="0.2">
      <c r="A336" s="21"/>
    </row>
    <row r="337" spans="1:1" x14ac:dyDescent="0.2">
      <c r="A337" s="21"/>
    </row>
    <row r="338" spans="1:1" x14ac:dyDescent="0.2">
      <c r="A338" s="21"/>
    </row>
    <row r="339" spans="1:1" x14ac:dyDescent="0.2">
      <c r="A339" s="21"/>
    </row>
    <row r="340" spans="1:1" x14ac:dyDescent="0.2">
      <c r="A340" s="21"/>
    </row>
    <row r="341" spans="1:1" x14ac:dyDescent="0.2">
      <c r="A341" s="21"/>
    </row>
    <row r="342" spans="1:1" x14ac:dyDescent="0.2">
      <c r="A342" s="21"/>
    </row>
    <row r="343" spans="1:1" x14ac:dyDescent="0.2">
      <c r="A343" s="21"/>
    </row>
    <row r="344" spans="1:1" x14ac:dyDescent="0.2">
      <c r="A344" s="21"/>
    </row>
    <row r="345" spans="1:1" x14ac:dyDescent="0.2">
      <c r="A345" s="21"/>
    </row>
    <row r="346" spans="1:1" x14ac:dyDescent="0.2">
      <c r="A346" s="21"/>
    </row>
    <row r="347" spans="1:1" x14ac:dyDescent="0.2">
      <c r="A347" s="21"/>
    </row>
    <row r="348" spans="1:1" x14ac:dyDescent="0.2">
      <c r="A348" s="21"/>
    </row>
    <row r="349" spans="1:1" x14ac:dyDescent="0.2">
      <c r="A349" s="21"/>
    </row>
    <row r="350" spans="1:1" x14ac:dyDescent="0.2">
      <c r="A350" s="21"/>
    </row>
    <row r="351" spans="1:1" x14ac:dyDescent="0.2">
      <c r="A351" s="21"/>
    </row>
    <row r="352" spans="1:1" x14ac:dyDescent="0.2">
      <c r="A352" s="21"/>
    </row>
    <row r="353" spans="1:1" x14ac:dyDescent="0.2">
      <c r="A353" s="21"/>
    </row>
    <row r="354" spans="1:1" x14ac:dyDescent="0.2">
      <c r="A354" s="21"/>
    </row>
    <row r="355" spans="1:1" x14ac:dyDescent="0.2">
      <c r="A355" s="21"/>
    </row>
    <row r="356" spans="1:1" x14ac:dyDescent="0.2">
      <c r="A356" s="21"/>
    </row>
    <row r="357" spans="1:1" x14ac:dyDescent="0.2">
      <c r="A357" s="21"/>
    </row>
    <row r="358" spans="1:1" x14ac:dyDescent="0.2">
      <c r="A358" s="21"/>
    </row>
    <row r="359" spans="1:1" x14ac:dyDescent="0.2">
      <c r="A359" s="21"/>
    </row>
    <row r="360" spans="1:1" x14ac:dyDescent="0.2">
      <c r="A360" s="21"/>
    </row>
    <row r="361" spans="1:1" x14ac:dyDescent="0.2">
      <c r="A361" s="21"/>
    </row>
    <row r="362" spans="1:1" x14ac:dyDescent="0.2">
      <c r="A362" s="21"/>
    </row>
    <row r="363" spans="1:1" x14ac:dyDescent="0.2">
      <c r="A363" s="21"/>
    </row>
    <row r="364" spans="1:1" x14ac:dyDescent="0.2">
      <c r="A364" s="21"/>
    </row>
    <row r="365" spans="1:1" x14ac:dyDescent="0.2">
      <c r="A365" s="21"/>
    </row>
    <row r="366" spans="1:1" x14ac:dyDescent="0.2">
      <c r="A366" s="21"/>
    </row>
    <row r="367" spans="1:1" x14ac:dyDescent="0.2">
      <c r="A367" s="21"/>
    </row>
    <row r="368" spans="1:1" x14ac:dyDescent="0.2">
      <c r="A368" s="21"/>
    </row>
    <row r="369" spans="1:1" x14ac:dyDescent="0.2">
      <c r="A369" s="21"/>
    </row>
    <row r="370" spans="1:1" x14ac:dyDescent="0.2">
      <c r="A370" s="21"/>
    </row>
    <row r="371" spans="1:1" x14ac:dyDescent="0.2">
      <c r="A371" s="21"/>
    </row>
    <row r="372" spans="1:1" x14ac:dyDescent="0.2">
      <c r="A372" s="21"/>
    </row>
    <row r="373" spans="1:1" x14ac:dyDescent="0.2">
      <c r="A373" s="21"/>
    </row>
    <row r="374" spans="1:1" x14ac:dyDescent="0.2">
      <c r="A374" s="21"/>
    </row>
    <row r="375" spans="1:1" x14ac:dyDescent="0.2">
      <c r="A375" s="21"/>
    </row>
    <row r="376" spans="1:1" x14ac:dyDescent="0.2">
      <c r="A376" s="21"/>
    </row>
    <row r="377" spans="1:1" x14ac:dyDescent="0.2">
      <c r="A377" s="21"/>
    </row>
    <row r="378" spans="1:1" x14ac:dyDescent="0.2">
      <c r="A378" s="21"/>
    </row>
    <row r="379" spans="1:1" x14ac:dyDescent="0.2">
      <c r="A379" s="21"/>
    </row>
    <row r="380" spans="1:1" x14ac:dyDescent="0.2">
      <c r="A380" s="21"/>
    </row>
    <row r="381" spans="1:1" x14ac:dyDescent="0.2">
      <c r="A381" s="21"/>
    </row>
    <row r="382" spans="1:1" x14ac:dyDescent="0.2">
      <c r="A382" s="21"/>
    </row>
    <row r="383" spans="1:1" x14ac:dyDescent="0.2">
      <c r="A383" s="21"/>
    </row>
    <row r="384" spans="1:1" x14ac:dyDescent="0.2">
      <c r="A384" s="21"/>
    </row>
    <row r="385" spans="1:1" x14ac:dyDescent="0.2">
      <c r="A385" s="21"/>
    </row>
    <row r="386" spans="1:1" x14ac:dyDescent="0.2">
      <c r="A386" s="21"/>
    </row>
    <row r="387" spans="1:1" x14ac:dyDescent="0.2">
      <c r="A387" s="21"/>
    </row>
    <row r="388" spans="1:1" x14ac:dyDescent="0.2">
      <c r="A388" s="21"/>
    </row>
    <row r="389" spans="1:1" x14ac:dyDescent="0.2">
      <c r="A389" s="21"/>
    </row>
    <row r="390" spans="1:1" x14ac:dyDescent="0.2">
      <c r="A390" s="21"/>
    </row>
    <row r="391" spans="1:1" x14ac:dyDescent="0.2">
      <c r="A391" s="21"/>
    </row>
    <row r="392" spans="1:1" x14ac:dyDescent="0.2">
      <c r="A392" s="21"/>
    </row>
    <row r="393" spans="1:1" x14ac:dyDescent="0.2">
      <c r="A393" s="21"/>
    </row>
    <row r="394" spans="1:1" x14ac:dyDescent="0.2">
      <c r="A394" s="21"/>
    </row>
    <row r="395" spans="1:1" x14ac:dyDescent="0.2">
      <c r="A395" s="21"/>
    </row>
    <row r="396" spans="1:1" x14ac:dyDescent="0.2">
      <c r="A396" s="21"/>
    </row>
    <row r="397" spans="1:1" x14ac:dyDescent="0.2">
      <c r="A397" s="21"/>
    </row>
    <row r="398" spans="1:1" x14ac:dyDescent="0.2">
      <c r="A398" s="21"/>
    </row>
    <row r="399" spans="1:1" x14ac:dyDescent="0.2">
      <c r="A399" s="21"/>
    </row>
    <row r="400" spans="1:1" x14ac:dyDescent="0.2">
      <c r="A400" s="21"/>
    </row>
    <row r="401" spans="1:1" x14ac:dyDescent="0.2">
      <c r="A401" s="21"/>
    </row>
    <row r="402" spans="1:1" x14ac:dyDescent="0.2">
      <c r="A402" s="21"/>
    </row>
    <row r="403" spans="1:1" x14ac:dyDescent="0.2">
      <c r="A403" s="21"/>
    </row>
    <row r="404" spans="1:1" x14ac:dyDescent="0.2">
      <c r="A404" s="21"/>
    </row>
    <row r="405" spans="1:1" x14ac:dyDescent="0.2">
      <c r="A405" s="21"/>
    </row>
    <row r="406" spans="1:1" x14ac:dyDescent="0.2">
      <c r="A406" s="21"/>
    </row>
    <row r="407" spans="1:1" x14ac:dyDescent="0.2">
      <c r="A407" s="21"/>
    </row>
    <row r="408" spans="1:1" x14ac:dyDescent="0.2">
      <c r="A408" s="21"/>
    </row>
    <row r="409" spans="1:1" x14ac:dyDescent="0.2">
      <c r="A409" s="21"/>
    </row>
    <row r="410" spans="1:1" x14ac:dyDescent="0.2">
      <c r="A410" s="21"/>
    </row>
    <row r="411" spans="1:1" x14ac:dyDescent="0.2">
      <c r="A411" s="21"/>
    </row>
    <row r="412" spans="1:1" x14ac:dyDescent="0.2">
      <c r="A412" s="21"/>
    </row>
    <row r="413" spans="1:1" x14ac:dyDescent="0.2">
      <c r="A413" s="21"/>
    </row>
    <row r="414" spans="1:1" x14ac:dyDescent="0.2">
      <c r="A414" s="21"/>
    </row>
    <row r="415" spans="1:1" x14ac:dyDescent="0.2">
      <c r="A415" s="21"/>
    </row>
    <row r="416" spans="1:1" x14ac:dyDescent="0.2">
      <c r="A416" s="21"/>
    </row>
    <row r="417" spans="1:1" x14ac:dyDescent="0.2">
      <c r="A417" s="21"/>
    </row>
    <row r="418" spans="1:1" x14ac:dyDescent="0.2">
      <c r="A418" s="21"/>
    </row>
    <row r="419" spans="1:1" x14ac:dyDescent="0.2">
      <c r="A419" s="21"/>
    </row>
    <row r="420" spans="1:1" x14ac:dyDescent="0.2">
      <c r="A420" s="21"/>
    </row>
    <row r="421" spans="1:1" x14ac:dyDescent="0.2">
      <c r="A421" s="21"/>
    </row>
    <row r="422" spans="1:1" x14ac:dyDescent="0.2">
      <c r="A422" s="21"/>
    </row>
    <row r="423" spans="1:1" x14ac:dyDescent="0.2">
      <c r="A423" s="21"/>
    </row>
    <row r="424" spans="1:1" x14ac:dyDescent="0.2">
      <c r="A424" s="21"/>
    </row>
    <row r="425" spans="1:1" x14ac:dyDescent="0.2">
      <c r="A425" s="21"/>
    </row>
    <row r="426" spans="1:1" x14ac:dyDescent="0.2">
      <c r="A426" s="21"/>
    </row>
    <row r="427" spans="1:1" x14ac:dyDescent="0.2">
      <c r="A427" s="21"/>
    </row>
    <row r="428" spans="1:1" x14ac:dyDescent="0.2">
      <c r="A428" s="21"/>
    </row>
    <row r="429" spans="1:1" x14ac:dyDescent="0.2">
      <c r="A429" s="21"/>
    </row>
    <row r="430" spans="1:1" x14ac:dyDescent="0.2">
      <c r="A430" s="21"/>
    </row>
    <row r="431" spans="1:1" x14ac:dyDescent="0.2">
      <c r="A431" s="21"/>
    </row>
    <row r="432" spans="1:1" x14ac:dyDescent="0.2">
      <c r="A432" s="21"/>
    </row>
    <row r="433" spans="1:1" x14ac:dyDescent="0.2">
      <c r="A433" s="21"/>
    </row>
    <row r="434" spans="1:1" x14ac:dyDescent="0.2">
      <c r="A434" s="21"/>
    </row>
    <row r="435" spans="1:1" x14ac:dyDescent="0.2">
      <c r="A435" s="21"/>
    </row>
    <row r="436" spans="1:1" x14ac:dyDescent="0.2">
      <c r="A436" s="21"/>
    </row>
    <row r="437" spans="1:1" x14ac:dyDescent="0.2">
      <c r="A437" s="21"/>
    </row>
    <row r="438" spans="1:1" x14ac:dyDescent="0.2">
      <c r="A438" s="21"/>
    </row>
    <row r="439" spans="1:1" x14ac:dyDescent="0.2">
      <c r="A439" s="21"/>
    </row>
    <row r="440" spans="1:1" x14ac:dyDescent="0.2">
      <c r="A440" s="21"/>
    </row>
    <row r="441" spans="1:1" x14ac:dyDescent="0.2">
      <c r="A441" s="21"/>
    </row>
    <row r="442" spans="1:1" x14ac:dyDescent="0.2">
      <c r="A442" s="21"/>
    </row>
    <row r="443" spans="1:1" x14ac:dyDescent="0.2">
      <c r="A443" s="21"/>
    </row>
    <row r="444" spans="1:1" x14ac:dyDescent="0.2">
      <c r="A444" s="21"/>
    </row>
    <row r="445" spans="1:1" x14ac:dyDescent="0.2">
      <c r="A445" s="21"/>
    </row>
    <row r="446" spans="1:1" x14ac:dyDescent="0.2">
      <c r="A446" s="21"/>
    </row>
    <row r="447" spans="1:1" x14ac:dyDescent="0.2">
      <c r="A447" s="21"/>
    </row>
    <row r="448" spans="1:1" x14ac:dyDescent="0.2">
      <c r="A448" s="21"/>
    </row>
    <row r="449" spans="1:1" x14ac:dyDescent="0.2">
      <c r="A449" s="21"/>
    </row>
    <row r="450" spans="1:1" x14ac:dyDescent="0.2">
      <c r="A450" s="21"/>
    </row>
    <row r="451" spans="1:1" x14ac:dyDescent="0.2">
      <c r="A451" s="21"/>
    </row>
    <row r="452" spans="1:1" x14ac:dyDescent="0.2">
      <c r="A452" s="21"/>
    </row>
    <row r="453" spans="1:1" x14ac:dyDescent="0.2">
      <c r="A453" s="21"/>
    </row>
    <row r="454" spans="1:1" x14ac:dyDescent="0.2">
      <c r="A454" s="21"/>
    </row>
    <row r="455" spans="1:1" x14ac:dyDescent="0.2">
      <c r="A455" s="21"/>
    </row>
    <row r="456" spans="1:1" x14ac:dyDescent="0.2">
      <c r="A456" s="21"/>
    </row>
    <row r="457" spans="1:1" x14ac:dyDescent="0.2">
      <c r="A457" s="21"/>
    </row>
    <row r="458" spans="1:1" x14ac:dyDescent="0.2">
      <c r="A458" s="21"/>
    </row>
    <row r="459" spans="1:1" x14ac:dyDescent="0.2">
      <c r="A459" s="21"/>
    </row>
    <row r="460" spans="1:1" x14ac:dyDescent="0.2">
      <c r="A460" s="21"/>
    </row>
    <row r="461" spans="1:1" x14ac:dyDescent="0.2">
      <c r="A461" s="21"/>
    </row>
    <row r="462" spans="1:1" x14ac:dyDescent="0.2">
      <c r="A462" s="21"/>
    </row>
    <row r="463" spans="1:1" x14ac:dyDescent="0.2">
      <c r="A463" s="21"/>
    </row>
    <row r="464" spans="1:1" x14ac:dyDescent="0.2">
      <c r="A464" s="21"/>
    </row>
    <row r="465" spans="1:1" x14ac:dyDescent="0.2">
      <c r="A465" s="21"/>
    </row>
    <row r="466" spans="1:1" x14ac:dyDescent="0.2">
      <c r="A466" s="21"/>
    </row>
    <row r="467" spans="1:1" x14ac:dyDescent="0.2">
      <c r="A467" s="21"/>
    </row>
    <row r="468" spans="1:1" x14ac:dyDescent="0.2">
      <c r="A468" s="21"/>
    </row>
    <row r="469" spans="1:1" x14ac:dyDescent="0.2">
      <c r="A469" s="21"/>
    </row>
    <row r="470" spans="1:1" x14ac:dyDescent="0.2">
      <c r="A470" s="21"/>
    </row>
    <row r="471" spans="1:1" x14ac:dyDescent="0.2">
      <c r="A471" s="21"/>
    </row>
    <row r="472" spans="1:1" x14ac:dyDescent="0.2">
      <c r="A472" s="21"/>
    </row>
    <row r="473" spans="1:1" x14ac:dyDescent="0.2">
      <c r="A473" s="21"/>
    </row>
    <row r="474" spans="1:1" x14ac:dyDescent="0.2">
      <c r="A474" s="21"/>
    </row>
    <row r="475" spans="1:1" x14ac:dyDescent="0.2">
      <c r="A475" s="21"/>
    </row>
    <row r="476" spans="1:1" x14ac:dyDescent="0.2">
      <c r="A476" s="21"/>
    </row>
    <row r="477" spans="1:1" x14ac:dyDescent="0.2">
      <c r="A477" s="21"/>
    </row>
    <row r="478" spans="1:1" x14ac:dyDescent="0.2">
      <c r="A478" s="21"/>
    </row>
    <row r="479" spans="1:1" x14ac:dyDescent="0.2">
      <c r="A479" s="21"/>
    </row>
    <row r="480" spans="1:1" x14ac:dyDescent="0.2">
      <c r="A480" s="21"/>
    </row>
    <row r="481" spans="1:1" x14ac:dyDescent="0.2">
      <c r="A481" s="21"/>
    </row>
    <row r="482" spans="1:1" x14ac:dyDescent="0.2">
      <c r="A482" s="21"/>
    </row>
    <row r="483" spans="1:1" x14ac:dyDescent="0.2">
      <c r="A483" s="21"/>
    </row>
    <row r="484" spans="1:1" x14ac:dyDescent="0.2">
      <c r="A484" s="21"/>
    </row>
    <row r="485" spans="1:1" x14ac:dyDescent="0.2">
      <c r="A485" s="21"/>
    </row>
    <row r="486" spans="1:1" x14ac:dyDescent="0.2">
      <c r="A486" s="21"/>
    </row>
    <row r="487" spans="1:1" x14ac:dyDescent="0.2">
      <c r="A487" s="21"/>
    </row>
    <row r="488" spans="1:1" x14ac:dyDescent="0.2">
      <c r="A488" s="21"/>
    </row>
    <row r="489" spans="1:1" x14ac:dyDescent="0.2">
      <c r="A489" s="21"/>
    </row>
    <row r="490" spans="1:1" x14ac:dyDescent="0.2">
      <c r="A490" s="21"/>
    </row>
    <row r="491" spans="1:1" x14ac:dyDescent="0.2">
      <c r="A491" s="21"/>
    </row>
    <row r="492" spans="1:1" x14ac:dyDescent="0.2">
      <c r="A492" s="21"/>
    </row>
    <row r="493" spans="1:1" x14ac:dyDescent="0.2">
      <c r="A493" s="21"/>
    </row>
    <row r="494" spans="1:1" x14ac:dyDescent="0.2">
      <c r="A494" s="21"/>
    </row>
    <row r="495" spans="1:1" x14ac:dyDescent="0.2">
      <c r="A495" s="21"/>
    </row>
    <row r="496" spans="1:1" x14ac:dyDescent="0.2">
      <c r="A496" s="21"/>
    </row>
    <row r="497" spans="1:1" x14ac:dyDescent="0.2">
      <c r="A497" s="21"/>
    </row>
    <row r="498" spans="1:1" x14ac:dyDescent="0.2">
      <c r="A498" s="21"/>
    </row>
    <row r="499" spans="1:1" x14ac:dyDescent="0.2">
      <c r="A499" s="21"/>
    </row>
    <row r="500" spans="1:1" x14ac:dyDescent="0.2">
      <c r="A500" s="21"/>
    </row>
    <row r="501" spans="1:1" x14ac:dyDescent="0.2">
      <c r="A501" s="21"/>
    </row>
    <row r="502" spans="1:1" x14ac:dyDescent="0.2">
      <c r="A502" s="21"/>
    </row>
    <row r="503" spans="1:1" x14ac:dyDescent="0.2">
      <c r="A503" s="21"/>
    </row>
    <row r="504" spans="1:1" x14ac:dyDescent="0.2">
      <c r="A504" s="21"/>
    </row>
    <row r="505" spans="1:1" x14ac:dyDescent="0.2">
      <c r="A505" s="21"/>
    </row>
    <row r="506" spans="1:1" x14ac:dyDescent="0.2">
      <c r="A506" s="21"/>
    </row>
    <row r="507" spans="1:1" x14ac:dyDescent="0.2">
      <c r="A507" s="21"/>
    </row>
    <row r="508" spans="1:1" x14ac:dyDescent="0.2">
      <c r="A508" s="21"/>
    </row>
    <row r="509" spans="1:1" x14ac:dyDescent="0.2">
      <c r="A509" s="21"/>
    </row>
    <row r="510" spans="1:1" x14ac:dyDescent="0.2">
      <c r="A510" s="21"/>
    </row>
    <row r="511" spans="1:1" x14ac:dyDescent="0.2">
      <c r="A511" s="21"/>
    </row>
    <row r="512" spans="1:1" x14ac:dyDescent="0.2">
      <c r="A512" s="21"/>
    </row>
    <row r="513" spans="1:1" x14ac:dyDescent="0.2">
      <c r="A513" s="21"/>
    </row>
    <row r="514" spans="1:1" x14ac:dyDescent="0.2">
      <c r="A514" s="21"/>
    </row>
    <row r="515" spans="1:1" x14ac:dyDescent="0.2">
      <c r="A515" s="21"/>
    </row>
    <row r="516" spans="1:1" x14ac:dyDescent="0.2">
      <c r="A516" s="21"/>
    </row>
    <row r="517" spans="1:1" x14ac:dyDescent="0.2">
      <c r="A517" s="21"/>
    </row>
    <row r="518" spans="1:1" x14ac:dyDescent="0.2">
      <c r="A518" s="21"/>
    </row>
    <row r="519" spans="1:1" x14ac:dyDescent="0.2">
      <c r="A519" s="21"/>
    </row>
    <row r="520" spans="1:1" x14ac:dyDescent="0.2">
      <c r="A520" s="21"/>
    </row>
    <row r="521" spans="1:1" x14ac:dyDescent="0.2">
      <c r="A521" s="21"/>
    </row>
    <row r="522" spans="1:1" x14ac:dyDescent="0.2">
      <c r="A522" s="21"/>
    </row>
    <row r="523" spans="1:1" x14ac:dyDescent="0.2">
      <c r="A523" s="21"/>
    </row>
    <row r="524" spans="1:1" x14ac:dyDescent="0.2">
      <c r="A524" s="21"/>
    </row>
    <row r="525" spans="1:1" x14ac:dyDescent="0.2">
      <c r="A525" s="21"/>
    </row>
    <row r="526" spans="1:1" x14ac:dyDescent="0.2">
      <c r="A526" s="21"/>
    </row>
    <row r="527" spans="1:1" x14ac:dyDescent="0.2">
      <c r="A527" s="21"/>
    </row>
    <row r="528" spans="1:1" x14ac:dyDescent="0.2">
      <c r="A528" s="21"/>
    </row>
    <row r="529" spans="1:1" x14ac:dyDescent="0.2">
      <c r="A529" s="21"/>
    </row>
    <row r="530" spans="1:1" x14ac:dyDescent="0.2">
      <c r="A530" s="21"/>
    </row>
    <row r="531" spans="1:1" x14ac:dyDescent="0.2">
      <c r="A531" s="21"/>
    </row>
    <row r="532" spans="1:1" x14ac:dyDescent="0.2">
      <c r="A532" s="21"/>
    </row>
    <row r="533" spans="1:1" x14ac:dyDescent="0.2">
      <c r="A533" s="21"/>
    </row>
    <row r="534" spans="1:1" x14ac:dyDescent="0.2">
      <c r="A534" s="21"/>
    </row>
    <row r="535" spans="1:1" x14ac:dyDescent="0.2">
      <c r="A535" s="21"/>
    </row>
    <row r="536" spans="1:1" x14ac:dyDescent="0.2">
      <c r="A536" s="21"/>
    </row>
    <row r="537" spans="1:1" x14ac:dyDescent="0.2">
      <c r="A537" s="21"/>
    </row>
    <row r="538" spans="1:1" x14ac:dyDescent="0.2">
      <c r="A538" s="21"/>
    </row>
    <row r="539" spans="1:1" x14ac:dyDescent="0.2">
      <c r="A539" s="21"/>
    </row>
    <row r="540" spans="1:1" x14ac:dyDescent="0.2">
      <c r="A540" s="21"/>
    </row>
    <row r="541" spans="1:1" x14ac:dyDescent="0.2">
      <c r="A541" s="21"/>
    </row>
    <row r="542" spans="1:1" x14ac:dyDescent="0.2">
      <c r="A542" s="21"/>
    </row>
    <row r="543" spans="1:1" x14ac:dyDescent="0.2">
      <c r="A543" s="21"/>
    </row>
    <row r="544" spans="1:1" x14ac:dyDescent="0.2">
      <c r="A544" s="21"/>
    </row>
    <row r="545" spans="1:1" x14ac:dyDescent="0.2">
      <c r="A545" s="21"/>
    </row>
    <row r="546" spans="1:1" x14ac:dyDescent="0.2">
      <c r="A546" s="21"/>
    </row>
    <row r="547" spans="1:1" x14ac:dyDescent="0.2">
      <c r="A547" s="21"/>
    </row>
    <row r="548" spans="1:1" x14ac:dyDescent="0.2">
      <c r="A548" s="21"/>
    </row>
    <row r="549" spans="1:1" x14ac:dyDescent="0.2">
      <c r="A549" s="21"/>
    </row>
    <row r="550" spans="1:1" x14ac:dyDescent="0.2">
      <c r="A550" s="21"/>
    </row>
    <row r="551" spans="1:1" x14ac:dyDescent="0.2">
      <c r="A551" s="21"/>
    </row>
    <row r="552" spans="1:1" x14ac:dyDescent="0.2">
      <c r="A552" s="21"/>
    </row>
    <row r="553" spans="1:1" x14ac:dyDescent="0.2">
      <c r="A553" s="21"/>
    </row>
    <row r="554" spans="1:1" x14ac:dyDescent="0.2">
      <c r="A554" s="21"/>
    </row>
    <row r="555" spans="1:1" x14ac:dyDescent="0.2">
      <c r="A555" s="21"/>
    </row>
    <row r="556" spans="1:1" x14ac:dyDescent="0.2">
      <c r="A556" s="21"/>
    </row>
    <row r="557" spans="1:1" x14ac:dyDescent="0.2">
      <c r="A557" s="21"/>
    </row>
    <row r="558" spans="1:1" x14ac:dyDescent="0.2">
      <c r="A558" s="21"/>
    </row>
    <row r="559" spans="1:1" x14ac:dyDescent="0.2">
      <c r="A559" s="21"/>
    </row>
    <row r="560" spans="1:1" x14ac:dyDescent="0.2">
      <c r="A560" s="21"/>
    </row>
    <row r="561" spans="1:1" x14ac:dyDescent="0.2">
      <c r="A561" s="21"/>
    </row>
    <row r="562" spans="1:1" x14ac:dyDescent="0.2">
      <c r="A562" s="21"/>
    </row>
    <row r="563" spans="1:1" x14ac:dyDescent="0.2">
      <c r="A563" s="21"/>
    </row>
    <row r="564" spans="1:1" x14ac:dyDescent="0.2">
      <c r="A564" s="21"/>
    </row>
    <row r="565" spans="1:1" x14ac:dyDescent="0.2">
      <c r="A565" s="21"/>
    </row>
    <row r="566" spans="1:1" x14ac:dyDescent="0.2">
      <c r="A566" s="21"/>
    </row>
    <row r="567" spans="1:1" x14ac:dyDescent="0.2">
      <c r="A567" s="21"/>
    </row>
    <row r="568" spans="1:1" x14ac:dyDescent="0.2">
      <c r="A568" s="21"/>
    </row>
    <row r="569" spans="1:1" x14ac:dyDescent="0.2">
      <c r="A569" s="21"/>
    </row>
    <row r="570" spans="1:1" x14ac:dyDescent="0.2">
      <c r="A570" s="21"/>
    </row>
    <row r="571" spans="1:1" x14ac:dyDescent="0.2">
      <c r="A571" s="21"/>
    </row>
    <row r="572" spans="1:1" x14ac:dyDescent="0.2">
      <c r="A572" s="21"/>
    </row>
    <row r="573" spans="1:1" x14ac:dyDescent="0.2">
      <c r="A573" s="21"/>
    </row>
    <row r="574" spans="1:1" x14ac:dyDescent="0.2">
      <c r="A574" s="21"/>
    </row>
    <row r="575" spans="1:1" x14ac:dyDescent="0.2">
      <c r="A575" s="21"/>
    </row>
    <row r="576" spans="1:1" x14ac:dyDescent="0.2">
      <c r="A576" s="21"/>
    </row>
    <row r="577" spans="1:1" x14ac:dyDescent="0.2">
      <c r="A577" s="21"/>
    </row>
    <row r="578" spans="1:1" x14ac:dyDescent="0.2">
      <c r="A578" s="21"/>
    </row>
    <row r="579" spans="1:1" x14ac:dyDescent="0.2">
      <c r="A579" s="21"/>
    </row>
    <row r="580" spans="1:1" x14ac:dyDescent="0.2">
      <c r="A580" s="21"/>
    </row>
    <row r="581" spans="1:1" x14ac:dyDescent="0.2">
      <c r="A581" s="21"/>
    </row>
    <row r="582" spans="1:1" x14ac:dyDescent="0.2">
      <c r="A582" s="21"/>
    </row>
    <row r="583" spans="1:1" x14ac:dyDescent="0.2">
      <c r="A583" s="21"/>
    </row>
    <row r="584" spans="1:1" x14ac:dyDescent="0.2">
      <c r="A584" s="21"/>
    </row>
    <row r="585" spans="1:1" x14ac:dyDescent="0.2">
      <c r="A585" s="21"/>
    </row>
    <row r="586" spans="1:1" x14ac:dyDescent="0.2">
      <c r="A586" s="21"/>
    </row>
    <row r="587" spans="1:1" x14ac:dyDescent="0.2">
      <c r="A587" s="21"/>
    </row>
    <row r="588" spans="1:1" x14ac:dyDescent="0.2">
      <c r="A588" s="21"/>
    </row>
    <row r="589" spans="1:1" x14ac:dyDescent="0.2">
      <c r="A589" s="21"/>
    </row>
    <row r="590" spans="1:1" x14ac:dyDescent="0.2">
      <c r="A590" s="21"/>
    </row>
    <row r="591" spans="1:1" x14ac:dyDescent="0.2">
      <c r="A591" s="21"/>
    </row>
    <row r="592" spans="1:1" x14ac:dyDescent="0.2">
      <c r="A592" s="21"/>
    </row>
    <row r="593" spans="1:1" x14ac:dyDescent="0.2">
      <c r="A593" s="21"/>
    </row>
    <row r="594" spans="1:1" x14ac:dyDescent="0.2">
      <c r="A594" s="21"/>
    </row>
    <row r="595" spans="1:1" x14ac:dyDescent="0.2">
      <c r="A595" s="21"/>
    </row>
    <row r="596" spans="1:1" x14ac:dyDescent="0.2">
      <c r="A596" s="21"/>
    </row>
    <row r="597" spans="1:1" x14ac:dyDescent="0.2">
      <c r="A597" s="21"/>
    </row>
    <row r="598" spans="1:1" x14ac:dyDescent="0.2">
      <c r="A598" s="21"/>
    </row>
    <row r="599" spans="1:1" x14ac:dyDescent="0.2">
      <c r="A599" s="21"/>
    </row>
    <row r="600" spans="1:1" x14ac:dyDescent="0.2">
      <c r="A600" s="21"/>
    </row>
    <row r="601" spans="1:1" x14ac:dyDescent="0.2">
      <c r="A601" s="21"/>
    </row>
    <row r="602" spans="1:1" x14ac:dyDescent="0.2">
      <c r="A602" s="21"/>
    </row>
    <row r="603" spans="1:1" x14ac:dyDescent="0.2">
      <c r="A603" s="21"/>
    </row>
    <row r="604" spans="1:1" x14ac:dyDescent="0.2">
      <c r="A604" s="21"/>
    </row>
    <row r="605" spans="1:1" x14ac:dyDescent="0.2">
      <c r="A605" s="21"/>
    </row>
    <row r="606" spans="1:1" x14ac:dyDescent="0.2">
      <c r="A606" s="21"/>
    </row>
    <row r="607" spans="1:1" x14ac:dyDescent="0.2">
      <c r="A607" s="21"/>
    </row>
    <row r="608" spans="1:1" x14ac:dyDescent="0.2">
      <c r="A608" s="21"/>
    </row>
    <row r="609" spans="1:1" x14ac:dyDescent="0.2">
      <c r="A609" s="21"/>
    </row>
    <row r="610" spans="1:1" x14ac:dyDescent="0.2">
      <c r="A610" s="21"/>
    </row>
    <row r="611" spans="1:1" x14ac:dyDescent="0.2">
      <c r="A611" s="21"/>
    </row>
    <row r="612" spans="1:1" x14ac:dyDescent="0.2">
      <c r="A612" s="21"/>
    </row>
    <row r="613" spans="1:1" x14ac:dyDescent="0.2">
      <c r="A613" s="21"/>
    </row>
    <row r="614" spans="1:1" x14ac:dyDescent="0.2">
      <c r="A614" s="21"/>
    </row>
    <row r="615" spans="1:1" x14ac:dyDescent="0.2">
      <c r="A615" s="21"/>
    </row>
    <row r="616" spans="1:1" x14ac:dyDescent="0.2">
      <c r="A616" s="21"/>
    </row>
    <row r="617" spans="1:1" x14ac:dyDescent="0.2">
      <c r="A617" s="21"/>
    </row>
    <row r="618" spans="1:1" x14ac:dyDescent="0.2">
      <c r="A618" s="21"/>
    </row>
    <row r="619" spans="1:1" x14ac:dyDescent="0.2">
      <c r="A619" s="21"/>
    </row>
    <row r="620" spans="1:1" x14ac:dyDescent="0.2">
      <c r="A620" s="21"/>
    </row>
    <row r="621" spans="1:1" x14ac:dyDescent="0.2">
      <c r="A621" s="21"/>
    </row>
    <row r="622" spans="1:1" x14ac:dyDescent="0.2">
      <c r="A622" s="21"/>
    </row>
    <row r="623" spans="1:1" x14ac:dyDescent="0.2">
      <c r="A623" s="21"/>
    </row>
    <row r="624" spans="1:1" x14ac:dyDescent="0.2">
      <c r="A624" s="21"/>
    </row>
    <row r="625" spans="1:1" x14ac:dyDescent="0.2">
      <c r="A625" s="21"/>
    </row>
    <row r="626" spans="1:1" x14ac:dyDescent="0.2">
      <c r="A626" s="21"/>
    </row>
    <row r="627" spans="1:1" x14ac:dyDescent="0.2">
      <c r="A627" s="21"/>
    </row>
    <row r="628" spans="1:1" x14ac:dyDescent="0.2">
      <c r="A628" s="21"/>
    </row>
    <row r="629" spans="1:1" x14ac:dyDescent="0.2">
      <c r="A629" s="21"/>
    </row>
    <row r="630" spans="1:1" x14ac:dyDescent="0.2">
      <c r="A630" s="21"/>
    </row>
    <row r="631" spans="1:1" x14ac:dyDescent="0.2">
      <c r="A631" s="21"/>
    </row>
    <row r="632" spans="1:1" x14ac:dyDescent="0.2">
      <c r="A632" s="21"/>
    </row>
    <row r="633" spans="1:1" x14ac:dyDescent="0.2">
      <c r="A633" s="21"/>
    </row>
    <row r="634" spans="1:1" x14ac:dyDescent="0.2">
      <c r="A634" s="21"/>
    </row>
    <row r="635" spans="1:1" x14ac:dyDescent="0.2">
      <c r="A635" s="21"/>
    </row>
    <row r="636" spans="1:1" x14ac:dyDescent="0.2">
      <c r="A636" s="21"/>
    </row>
    <row r="637" spans="1:1" x14ac:dyDescent="0.2">
      <c r="A637" s="21"/>
    </row>
    <row r="638" spans="1:1" x14ac:dyDescent="0.2">
      <c r="A638" s="21"/>
    </row>
    <row r="639" spans="1:1" x14ac:dyDescent="0.2">
      <c r="A639" s="21"/>
    </row>
    <row r="640" spans="1:1" x14ac:dyDescent="0.2">
      <c r="A640" s="21"/>
    </row>
    <row r="641" spans="1:1" x14ac:dyDescent="0.2">
      <c r="A641" s="21"/>
    </row>
    <row r="642" spans="1:1" x14ac:dyDescent="0.2">
      <c r="A642" s="21"/>
    </row>
    <row r="643" spans="1:1" x14ac:dyDescent="0.2">
      <c r="A643" s="21"/>
    </row>
    <row r="644" spans="1:1" x14ac:dyDescent="0.2">
      <c r="A644" s="21"/>
    </row>
    <row r="645" spans="1:1" x14ac:dyDescent="0.2">
      <c r="A645" s="21"/>
    </row>
    <row r="646" spans="1:1" x14ac:dyDescent="0.2">
      <c r="A646" s="21"/>
    </row>
    <row r="647" spans="1:1" x14ac:dyDescent="0.2">
      <c r="A647" s="21"/>
    </row>
    <row r="648" spans="1:1" x14ac:dyDescent="0.2">
      <c r="A648" s="21"/>
    </row>
    <row r="649" spans="1:1" x14ac:dyDescent="0.2">
      <c r="A649" s="21"/>
    </row>
    <row r="650" spans="1:1" x14ac:dyDescent="0.2">
      <c r="A650" s="21"/>
    </row>
    <row r="651" spans="1:1" x14ac:dyDescent="0.2">
      <c r="A651" s="21"/>
    </row>
    <row r="652" spans="1:1" x14ac:dyDescent="0.2">
      <c r="A652" s="21"/>
    </row>
    <row r="653" spans="1:1" x14ac:dyDescent="0.2">
      <c r="A653" s="21"/>
    </row>
    <row r="654" spans="1:1" x14ac:dyDescent="0.2">
      <c r="A654" s="21"/>
    </row>
    <row r="655" spans="1:1" x14ac:dyDescent="0.2">
      <c r="A655" s="21"/>
    </row>
    <row r="656" spans="1:1" x14ac:dyDescent="0.2">
      <c r="A656" s="21"/>
    </row>
    <row r="657" spans="1:1" x14ac:dyDescent="0.2">
      <c r="A657" s="21"/>
    </row>
    <row r="658" spans="1:1" x14ac:dyDescent="0.2">
      <c r="A658" s="21"/>
    </row>
    <row r="659" spans="1:1" x14ac:dyDescent="0.2">
      <c r="A659" s="21"/>
    </row>
    <row r="660" spans="1:1" x14ac:dyDescent="0.2">
      <c r="A660" s="21"/>
    </row>
    <row r="661" spans="1:1" x14ac:dyDescent="0.2">
      <c r="A661" s="21"/>
    </row>
    <row r="662" spans="1:1" x14ac:dyDescent="0.2">
      <c r="A662" s="21"/>
    </row>
    <row r="663" spans="1:1" x14ac:dyDescent="0.2">
      <c r="A663" s="21"/>
    </row>
    <row r="664" spans="1:1" x14ac:dyDescent="0.2">
      <c r="A664" s="21"/>
    </row>
    <row r="665" spans="1:1" x14ac:dyDescent="0.2">
      <c r="A665" s="21"/>
    </row>
    <row r="666" spans="1:1" x14ac:dyDescent="0.2">
      <c r="A666" s="21"/>
    </row>
    <row r="667" spans="1:1" x14ac:dyDescent="0.2">
      <c r="A667" s="21"/>
    </row>
    <row r="668" spans="1:1" x14ac:dyDescent="0.2">
      <c r="A668" s="21"/>
    </row>
    <row r="669" spans="1:1" x14ac:dyDescent="0.2">
      <c r="A669" s="21"/>
    </row>
    <row r="670" spans="1:1" x14ac:dyDescent="0.2">
      <c r="A670" s="21"/>
    </row>
    <row r="671" spans="1:1" x14ac:dyDescent="0.2">
      <c r="A671" s="21"/>
    </row>
    <row r="672" spans="1:1" x14ac:dyDescent="0.2">
      <c r="A672" s="21"/>
    </row>
    <row r="673" spans="1:1" x14ac:dyDescent="0.2">
      <c r="A673" s="21"/>
    </row>
    <row r="674" spans="1:1" x14ac:dyDescent="0.2">
      <c r="A674" s="21"/>
    </row>
    <row r="675" spans="1:1" x14ac:dyDescent="0.2">
      <c r="A675" s="21"/>
    </row>
    <row r="676" spans="1:1" x14ac:dyDescent="0.2">
      <c r="A676" s="21"/>
    </row>
    <row r="677" spans="1:1" x14ac:dyDescent="0.2">
      <c r="A677" s="21"/>
    </row>
    <row r="678" spans="1:1" x14ac:dyDescent="0.2">
      <c r="A678" s="21"/>
    </row>
    <row r="679" spans="1:1" x14ac:dyDescent="0.2">
      <c r="A679" s="21"/>
    </row>
    <row r="680" spans="1:1" x14ac:dyDescent="0.2">
      <c r="A680" s="21"/>
    </row>
    <row r="681" spans="1:1" x14ac:dyDescent="0.2">
      <c r="A681" s="21"/>
    </row>
    <row r="682" spans="1:1" x14ac:dyDescent="0.2">
      <c r="A682" s="21"/>
    </row>
    <row r="683" spans="1:1" x14ac:dyDescent="0.2">
      <c r="A683" s="21"/>
    </row>
    <row r="684" spans="1:1" x14ac:dyDescent="0.2">
      <c r="A684" s="21"/>
    </row>
    <row r="685" spans="1:1" x14ac:dyDescent="0.2">
      <c r="A685" s="21"/>
    </row>
    <row r="686" spans="1:1" x14ac:dyDescent="0.2">
      <c r="A686" s="21"/>
    </row>
    <row r="687" spans="1:1" x14ac:dyDescent="0.2">
      <c r="A687" s="21"/>
    </row>
    <row r="688" spans="1:1" x14ac:dyDescent="0.2">
      <c r="A688" s="21"/>
    </row>
    <row r="689" spans="1:1" x14ac:dyDescent="0.2">
      <c r="A689" s="21"/>
    </row>
    <row r="690" spans="1:1" x14ac:dyDescent="0.2">
      <c r="A690" s="21"/>
    </row>
    <row r="691" spans="1:1" x14ac:dyDescent="0.2">
      <c r="A691" s="21"/>
    </row>
    <row r="692" spans="1:1" x14ac:dyDescent="0.2">
      <c r="A692" s="21"/>
    </row>
    <row r="693" spans="1:1" x14ac:dyDescent="0.2">
      <c r="A693" s="21"/>
    </row>
    <row r="694" spans="1:1" x14ac:dyDescent="0.2">
      <c r="A694" s="21"/>
    </row>
    <row r="695" spans="1:1" x14ac:dyDescent="0.2">
      <c r="A695" s="21"/>
    </row>
    <row r="696" spans="1:1" x14ac:dyDescent="0.2">
      <c r="A696" s="21"/>
    </row>
    <row r="697" spans="1:1" x14ac:dyDescent="0.2">
      <c r="A697" s="21"/>
    </row>
    <row r="698" spans="1:1" x14ac:dyDescent="0.2">
      <c r="A698" s="21"/>
    </row>
    <row r="699" spans="1:1" x14ac:dyDescent="0.2">
      <c r="A699" s="21"/>
    </row>
    <row r="700" spans="1:1" x14ac:dyDescent="0.2">
      <c r="A700" s="21"/>
    </row>
    <row r="701" spans="1:1" x14ac:dyDescent="0.2">
      <c r="A701" s="21"/>
    </row>
    <row r="702" spans="1:1" x14ac:dyDescent="0.2">
      <c r="A702" s="21"/>
    </row>
    <row r="703" spans="1:1" x14ac:dyDescent="0.2">
      <c r="A703" s="21"/>
    </row>
    <row r="704" spans="1:1" x14ac:dyDescent="0.2">
      <c r="A704" s="21"/>
    </row>
    <row r="705" spans="1:1" x14ac:dyDescent="0.2">
      <c r="A705" s="21"/>
    </row>
    <row r="706" spans="1:1" x14ac:dyDescent="0.2">
      <c r="A706" s="21"/>
    </row>
    <row r="707" spans="1:1" x14ac:dyDescent="0.2">
      <c r="A707" s="21"/>
    </row>
    <row r="708" spans="1:1" x14ac:dyDescent="0.2">
      <c r="A708" s="21"/>
    </row>
    <row r="709" spans="1:1" x14ac:dyDescent="0.2">
      <c r="A709" s="21"/>
    </row>
    <row r="710" spans="1:1" x14ac:dyDescent="0.2">
      <c r="A710" s="21"/>
    </row>
    <row r="711" spans="1:1" x14ac:dyDescent="0.2">
      <c r="A711" s="21"/>
    </row>
    <row r="712" spans="1:1" x14ac:dyDescent="0.2">
      <c r="A712" s="21"/>
    </row>
    <row r="713" spans="1:1" x14ac:dyDescent="0.2">
      <c r="A713" s="21"/>
    </row>
    <row r="714" spans="1:1" x14ac:dyDescent="0.2">
      <c r="A714" s="21"/>
    </row>
    <row r="715" spans="1:1" x14ac:dyDescent="0.2">
      <c r="A715" s="21"/>
    </row>
    <row r="716" spans="1:1" x14ac:dyDescent="0.2">
      <c r="A716" s="21"/>
    </row>
    <row r="717" spans="1:1" x14ac:dyDescent="0.2">
      <c r="A717" s="21"/>
    </row>
    <row r="718" spans="1:1" x14ac:dyDescent="0.2">
      <c r="A718" s="21"/>
    </row>
    <row r="719" spans="1:1" x14ac:dyDescent="0.2">
      <c r="A719" s="21"/>
    </row>
    <row r="720" spans="1:1" x14ac:dyDescent="0.2">
      <c r="A720" s="21"/>
    </row>
    <row r="721" spans="1:1" x14ac:dyDescent="0.2">
      <c r="A721" s="21"/>
    </row>
    <row r="722" spans="1:1" x14ac:dyDescent="0.2">
      <c r="A722" s="21"/>
    </row>
    <row r="723" spans="1:1" x14ac:dyDescent="0.2">
      <c r="A723" s="21"/>
    </row>
    <row r="724" spans="1:1" x14ac:dyDescent="0.2">
      <c r="A724" s="21"/>
    </row>
    <row r="725" spans="1:1" x14ac:dyDescent="0.2">
      <c r="A725" s="21"/>
    </row>
    <row r="726" spans="1:1" x14ac:dyDescent="0.2">
      <c r="A726" s="21"/>
    </row>
    <row r="727" spans="1:1" x14ac:dyDescent="0.2">
      <c r="A727" s="21"/>
    </row>
    <row r="728" spans="1:1" x14ac:dyDescent="0.2">
      <c r="A728" s="21"/>
    </row>
    <row r="729" spans="1:1" x14ac:dyDescent="0.2">
      <c r="A729" s="21"/>
    </row>
    <row r="730" spans="1:1" x14ac:dyDescent="0.2">
      <c r="A730" s="21"/>
    </row>
    <row r="731" spans="1:1" x14ac:dyDescent="0.2">
      <c r="A731" s="21"/>
    </row>
    <row r="732" spans="1:1" x14ac:dyDescent="0.2">
      <c r="A732" s="21"/>
    </row>
    <row r="733" spans="1:1" x14ac:dyDescent="0.2">
      <c r="A733" s="21"/>
    </row>
    <row r="734" spans="1:1" x14ac:dyDescent="0.2">
      <c r="A734" s="21"/>
    </row>
    <row r="735" spans="1:1" x14ac:dyDescent="0.2">
      <c r="A735" s="21"/>
    </row>
    <row r="736" spans="1:1" x14ac:dyDescent="0.2">
      <c r="A736" s="21"/>
    </row>
    <row r="737" spans="1:1" x14ac:dyDescent="0.2">
      <c r="A737" s="21"/>
    </row>
    <row r="738" spans="1:1" x14ac:dyDescent="0.2">
      <c r="A738" s="21"/>
    </row>
    <row r="739" spans="1:1" x14ac:dyDescent="0.2">
      <c r="A739" s="21"/>
    </row>
    <row r="740" spans="1:1" x14ac:dyDescent="0.2">
      <c r="A740" s="21"/>
    </row>
    <row r="741" spans="1:1" x14ac:dyDescent="0.2">
      <c r="A741" s="21"/>
    </row>
    <row r="742" spans="1:1" x14ac:dyDescent="0.2">
      <c r="A742" s="21"/>
    </row>
    <row r="743" spans="1:1" x14ac:dyDescent="0.2">
      <c r="A743" s="21"/>
    </row>
    <row r="744" spans="1:1" x14ac:dyDescent="0.2">
      <c r="A744" s="21"/>
    </row>
    <row r="745" spans="1:1" x14ac:dyDescent="0.2">
      <c r="A745" s="21"/>
    </row>
    <row r="746" spans="1:1" x14ac:dyDescent="0.2">
      <c r="A746" s="21"/>
    </row>
    <row r="747" spans="1:1" x14ac:dyDescent="0.2">
      <c r="A747" s="21"/>
    </row>
    <row r="748" spans="1:1" x14ac:dyDescent="0.2">
      <c r="A748" s="21"/>
    </row>
    <row r="749" spans="1:1" x14ac:dyDescent="0.2">
      <c r="A749" s="21"/>
    </row>
    <row r="750" spans="1:1" x14ac:dyDescent="0.2">
      <c r="A750" s="21"/>
    </row>
    <row r="751" spans="1:1" x14ac:dyDescent="0.2">
      <c r="A751" s="21"/>
    </row>
    <row r="752" spans="1:1" x14ac:dyDescent="0.2">
      <c r="A752" s="21"/>
    </row>
    <row r="753" spans="1:1" x14ac:dyDescent="0.2">
      <c r="A753" s="21"/>
    </row>
    <row r="754" spans="1:1" x14ac:dyDescent="0.2">
      <c r="A754" s="21"/>
    </row>
    <row r="755" spans="1:1" x14ac:dyDescent="0.2">
      <c r="A755" s="21"/>
    </row>
    <row r="756" spans="1:1" x14ac:dyDescent="0.2">
      <c r="A756" s="21"/>
    </row>
    <row r="757" spans="1:1" x14ac:dyDescent="0.2">
      <c r="A757" s="21"/>
    </row>
    <row r="758" spans="1:1" x14ac:dyDescent="0.2">
      <c r="A758" s="21"/>
    </row>
    <row r="759" spans="1:1" x14ac:dyDescent="0.2">
      <c r="A759" s="21"/>
    </row>
    <row r="760" spans="1:1" x14ac:dyDescent="0.2">
      <c r="A760" s="21"/>
    </row>
    <row r="761" spans="1:1" x14ac:dyDescent="0.2">
      <c r="A761" s="21"/>
    </row>
    <row r="762" spans="1:1" x14ac:dyDescent="0.2">
      <c r="A762" s="21"/>
    </row>
    <row r="763" spans="1:1" x14ac:dyDescent="0.2">
      <c r="A763" s="21"/>
    </row>
    <row r="764" spans="1:1" x14ac:dyDescent="0.2">
      <c r="A764" s="21"/>
    </row>
    <row r="765" spans="1:1" x14ac:dyDescent="0.2">
      <c r="A765" s="21"/>
    </row>
    <row r="766" spans="1:1" x14ac:dyDescent="0.2">
      <c r="A766" s="21"/>
    </row>
    <row r="767" spans="1:1" x14ac:dyDescent="0.2">
      <c r="A767" s="21"/>
    </row>
    <row r="768" spans="1:1" x14ac:dyDescent="0.2">
      <c r="A768" s="21"/>
    </row>
    <row r="769" spans="1:1" x14ac:dyDescent="0.2">
      <c r="A769" s="21"/>
    </row>
    <row r="770" spans="1:1" x14ac:dyDescent="0.2">
      <c r="A770" s="21"/>
    </row>
    <row r="771" spans="1:1" x14ac:dyDescent="0.2">
      <c r="A771" s="21"/>
    </row>
    <row r="772" spans="1:1" x14ac:dyDescent="0.2">
      <c r="A772" s="21"/>
    </row>
    <row r="773" spans="1:1" x14ac:dyDescent="0.2">
      <c r="A773" s="21"/>
    </row>
    <row r="774" spans="1:1" x14ac:dyDescent="0.2">
      <c r="A774" s="21"/>
    </row>
    <row r="775" spans="1:1" x14ac:dyDescent="0.2">
      <c r="A775" s="21"/>
    </row>
    <row r="776" spans="1:1" x14ac:dyDescent="0.2">
      <c r="A776" s="21"/>
    </row>
    <row r="777" spans="1:1" x14ac:dyDescent="0.2">
      <c r="A777" s="21"/>
    </row>
    <row r="778" spans="1:1" x14ac:dyDescent="0.2">
      <c r="A778" s="21"/>
    </row>
    <row r="779" spans="1:1" x14ac:dyDescent="0.2">
      <c r="A779" s="21"/>
    </row>
    <row r="780" spans="1:1" x14ac:dyDescent="0.2">
      <c r="A780" s="21"/>
    </row>
    <row r="781" spans="1:1" x14ac:dyDescent="0.2">
      <c r="A781" s="21"/>
    </row>
    <row r="782" spans="1:1" x14ac:dyDescent="0.2">
      <c r="A782" s="21"/>
    </row>
    <row r="783" spans="1:1" x14ac:dyDescent="0.2">
      <c r="A783" s="21"/>
    </row>
    <row r="784" spans="1:1" x14ac:dyDescent="0.2">
      <c r="A784" s="21"/>
    </row>
    <row r="785" spans="1:1" x14ac:dyDescent="0.2">
      <c r="A785" s="21"/>
    </row>
    <row r="786" spans="1:1" x14ac:dyDescent="0.2">
      <c r="A786" s="21"/>
    </row>
    <row r="787" spans="1:1" x14ac:dyDescent="0.2">
      <c r="A787" s="21"/>
    </row>
    <row r="788" spans="1:1" x14ac:dyDescent="0.2">
      <c r="A788" s="21"/>
    </row>
    <row r="789" spans="1:1" x14ac:dyDescent="0.2">
      <c r="A789" s="21"/>
    </row>
    <row r="790" spans="1:1" x14ac:dyDescent="0.2">
      <c r="A790" s="21"/>
    </row>
    <row r="791" spans="1:1" x14ac:dyDescent="0.2">
      <c r="A791" s="21"/>
    </row>
    <row r="792" spans="1:1" x14ac:dyDescent="0.2">
      <c r="A792" s="21"/>
    </row>
    <row r="793" spans="1:1" x14ac:dyDescent="0.2">
      <c r="A793" s="21"/>
    </row>
    <row r="794" spans="1:1" x14ac:dyDescent="0.2">
      <c r="A794" s="21"/>
    </row>
    <row r="795" spans="1:1" x14ac:dyDescent="0.2">
      <c r="A795" s="21"/>
    </row>
    <row r="796" spans="1:1" x14ac:dyDescent="0.2">
      <c r="A796" s="21"/>
    </row>
    <row r="797" spans="1:1" x14ac:dyDescent="0.2">
      <c r="A797" s="21"/>
    </row>
    <row r="798" spans="1:1" x14ac:dyDescent="0.2">
      <c r="A798" s="21"/>
    </row>
    <row r="799" spans="1:1" x14ac:dyDescent="0.2">
      <c r="A799" s="21"/>
    </row>
    <row r="800" spans="1:1" x14ac:dyDescent="0.2">
      <c r="A800" s="21"/>
    </row>
    <row r="801" spans="1:1" x14ac:dyDescent="0.2">
      <c r="A801" s="21"/>
    </row>
    <row r="802" spans="1:1" x14ac:dyDescent="0.2">
      <c r="A802" s="21"/>
    </row>
    <row r="803" spans="1:1" x14ac:dyDescent="0.2">
      <c r="A803" s="21"/>
    </row>
    <row r="804" spans="1:1" x14ac:dyDescent="0.2">
      <c r="A804" s="21"/>
    </row>
    <row r="805" spans="1:1" x14ac:dyDescent="0.2">
      <c r="A805" s="21"/>
    </row>
    <row r="806" spans="1:1" x14ac:dyDescent="0.2">
      <c r="A806" s="21"/>
    </row>
    <row r="807" spans="1:1" x14ac:dyDescent="0.2">
      <c r="A807" s="21"/>
    </row>
    <row r="808" spans="1:1" x14ac:dyDescent="0.2">
      <c r="A808" s="21"/>
    </row>
    <row r="809" spans="1:1" x14ac:dyDescent="0.2">
      <c r="A809" s="21"/>
    </row>
    <row r="810" spans="1:1" x14ac:dyDescent="0.2">
      <c r="A810" s="21"/>
    </row>
    <row r="811" spans="1:1" x14ac:dyDescent="0.2">
      <c r="A811" s="21"/>
    </row>
    <row r="812" spans="1:1" x14ac:dyDescent="0.2">
      <c r="A812" s="21"/>
    </row>
    <row r="813" spans="1:1" x14ac:dyDescent="0.2">
      <c r="A813" s="21"/>
    </row>
    <row r="814" spans="1:1" x14ac:dyDescent="0.2">
      <c r="A814" s="21"/>
    </row>
    <row r="815" spans="1:1" x14ac:dyDescent="0.2">
      <c r="A815" s="21"/>
    </row>
    <row r="816" spans="1:1" x14ac:dyDescent="0.2">
      <c r="A816" s="21"/>
    </row>
    <row r="817" spans="1:1" x14ac:dyDescent="0.2">
      <c r="A817" s="21"/>
    </row>
    <row r="818" spans="1:1" x14ac:dyDescent="0.2">
      <c r="A818" s="21"/>
    </row>
    <row r="819" spans="1:1" x14ac:dyDescent="0.2">
      <c r="A819" s="21"/>
    </row>
    <row r="820" spans="1:1" x14ac:dyDescent="0.2">
      <c r="A820" s="21"/>
    </row>
    <row r="821" spans="1:1" x14ac:dyDescent="0.2">
      <c r="A821" s="21"/>
    </row>
    <row r="822" spans="1:1" x14ac:dyDescent="0.2">
      <c r="A822" s="21"/>
    </row>
    <row r="823" spans="1:1" x14ac:dyDescent="0.2">
      <c r="A823" s="21"/>
    </row>
    <row r="824" spans="1:1" x14ac:dyDescent="0.2">
      <c r="A824" s="21"/>
    </row>
    <row r="825" spans="1:1" x14ac:dyDescent="0.2">
      <c r="A825" s="21"/>
    </row>
    <row r="826" spans="1:1" x14ac:dyDescent="0.2">
      <c r="A826" s="21"/>
    </row>
    <row r="827" spans="1:1" x14ac:dyDescent="0.2">
      <c r="A827" s="21"/>
    </row>
    <row r="828" spans="1:1" x14ac:dyDescent="0.2">
      <c r="A828" s="21"/>
    </row>
    <row r="829" spans="1:1" x14ac:dyDescent="0.2">
      <c r="A829" s="21"/>
    </row>
    <row r="830" spans="1:1" x14ac:dyDescent="0.2">
      <c r="A830" s="21"/>
    </row>
    <row r="831" spans="1:1" x14ac:dyDescent="0.2">
      <c r="A831" s="21"/>
    </row>
    <row r="832" spans="1:1" x14ac:dyDescent="0.2">
      <c r="A832" s="21"/>
    </row>
    <row r="833" spans="1:1" x14ac:dyDescent="0.2">
      <c r="A833" s="21"/>
    </row>
    <row r="834" spans="1:1" x14ac:dyDescent="0.2">
      <c r="A834" s="21"/>
    </row>
    <row r="835" spans="1:1" x14ac:dyDescent="0.2">
      <c r="A835" s="21"/>
    </row>
    <row r="836" spans="1:1" x14ac:dyDescent="0.2">
      <c r="A836" s="21"/>
    </row>
    <row r="837" spans="1:1" x14ac:dyDescent="0.2">
      <c r="A837" s="21"/>
    </row>
    <row r="838" spans="1:1" x14ac:dyDescent="0.2">
      <c r="A838" s="21"/>
    </row>
    <row r="839" spans="1:1" x14ac:dyDescent="0.2">
      <c r="A839" s="21"/>
    </row>
    <row r="840" spans="1:1" x14ac:dyDescent="0.2">
      <c r="A840" s="21"/>
    </row>
    <row r="841" spans="1:1" x14ac:dyDescent="0.2">
      <c r="A841" s="21"/>
    </row>
    <row r="842" spans="1:1" x14ac:dyDescent="0.2">
      <c r="A842" s="21"/>
    </row>
    <row r="843" spans="1:1" x14ac:dyDescent="0.2">
      <c r="A843" s="21"/>
    </row>
    <row r="844" spans="1:1" x14ac:dyDescent="0.2">
      <c r="A844" s="21"/>
    </row>
    <row r="845" spans="1:1" x14ac:dyDescent="0.2">
      <c r="A845" s="21"/>
    </row>
    <row r="846" spans="1:1" x14ac:dyDescent="0.2">
      <c r="A846" s="21"/>
    </row>
    <row r="847" spans="1:1" x14ac:dyDescent="0.2">
      <c r="A847" s="21"/>
    </row>
    <row r="848" spans="1:1" x14ac:dyDescent="0.2">
      <c r="A848" s="21"/>
    </row>
    <row r="849" spans="1:1" x14ac:dyDescent="0.2">
      <c r="A849" s="21"/>
    </row>
    <row r="850" spans="1:1" x14ac:dyDescent="0.2">
      <c r="A850" s="21"/>
    </row>
    <row r="851" spans="1:1" x14ac:dyDescent="0.2">
      <c r="A851" s="21"/>
    </row>
    <row r="852" spans="1:1" x14ac:dyDescent="0.2">
      <c r="A852" s="21"/>
    </row>
    <row r="853" spans="1:1" x14ac:dyDescent="0.2">
      <c r="A853" s="21"/>
    </row>
    <row r="854" spans="1:1" x14ac:dyDescent="0.2">
      <c r="A854" s="21"/>
    </row>
    <row r="855" spans="1:1" x14ac:dyDescent="0.2">
      <c r="A855" s="21"/>
    </row>
    <row r="856" spans="1:1" x14ac:dyDescent="0.2">
      <c r="A856" s="21"/>
    </row>
    <row r="857" spans="1:1" x14ac:dyDescent="0.2">
      <c r="A857" s="21"/>
    </row>
    <row r="858" spans="1:1" x14ac:dyDescent="0.2">
      <c r="A858" s="21"/>
    </row>
    <row r="859" spans="1:1" x14ac:dyDescent="0.2">
      <c r="A859" s="21"/>
    </row>
    <row r="860" spans="1:1" x14ac:dyDescent="0.2">
      <c r="A860" s="21"/>
    </row>
    <row r="861" spans="1:1" x14ac:dyDescent="0.2">
      <c r="A861" s="21"/>
    </row>
    <row r="862" spans="1:1" x14ac:dyDescent="0.2">
      <c r="A862" s="21"/>
    </row>
    <row r="863" spans="1:1" x14ac:dyDescent="0.2">
      <c r="A863" s="21"/>
    </row>
    <row r="864" spans="1:1" x14ac:dyDescent="0.2">
      <c r="A864" s="21"/>
    </row>
    <row r="865" spans="1:1" x14ac:dyDescent="0.2">
      <c r="A865" s="21"/>
    </row>
    <row r="866" spans="1:1" x14ac:dyDescent="0.2">
      <c r="A866" s="21"/>
    </row>
    <row r="867" spans="1:1" x14ac:dyDescent="0.2">
      <c r="A867" s="21"/>
    </row>
    <row r="868" spans="1:1" x14ac:dyDescent="0.2">
      <c r="A868" s="21"/>
    </row>
    <row r="869" spans="1:1" x14ac:dyDescent="0.2">
      <c r="A869" s="21"/>
    </row>
    <row r="870" spans="1:1" x14ac:dyDescent="0.2">
      <c r="A870" s="21"/>
    </row>
    <row r="871" spans="1:1" x14ac:dyDescent="0.2">
      <c r="A871" s="21"/>
    </row>
    <row r="872" spans="1:1" x14ac:dyDescent="0.2">
      <c r="A872" s="21"/>
    </row>
    <row r="873" spans="1:1" x14ac:dyDescent="0.2">
      <c r="A873" s="21"/>
    </row>
    <row r="874" spans="1:1" x14ac:dyDescent="0.2">
      <c r="A874" s="21"/>
    </row>
    <row r="875" spans="1:1" x14ac:dyDescent="0.2">
      <c r="A875" s="21"/>
    </row>
    <row r="876" spans="1:1" x14ac:dyDescent="0.2">
      <c r="A876" s="21"/>
    </row>
    <row r="877" spans="1:1" x14ac:dyDescent="0.2">
      <c r="A877" s="21"/>
    </row>
    <row r="878" spans="1:1" x14ac:dyDescent="0.2">
      <c r="A878" s="21"/>
    </row>
    <row r="879" spans="1:1" x14ac:dyDescent="0.2">
      <c r="A879" s="21"/>
    </row>
    <row r="880" spans="1:1" x14ac:dyDescent="0.2">
      <c r="A880" s="21"/>
    </row>
    <row r="881" spans="1:1" x14ac:dyDescent="0.2">
      <c r="A881" s="21"/>
    </row>
    <row r="882" spans="1:1" x14ac:dyDescent="0.2">
      <c r="A882" s="21"/>
    </row>
    <row r="883" spans="1:1" x14ac:dyDescent="0.2">
      <c r="A883" s="21"/>
    </row>
    <row r="884" spans="1:1" x14ac:dyDescent="0.2">
      <c r="A884" s="21"/>
    </row>
    <row r="885" spans="1:1" x14ac:dyDescent="0.2">
      <c r="A885" s="21"/>
    </row>
    <row r="886" spans="1:1" x14ac:dyDescent="0.2">
      <c r="A886" s="21"/>
    </row>
    <row r="887" spans="1:1" x14ac:dyDescent="0.2">
      <c r="A887" s="21"/>
    </row>
    <row r="888" spans="1:1" x14ac:dyDescent="0.2">
      <c r="A888" s="21"/>
    </row>
    <row r="889" spans="1:1" x14ac:dyDescent="0.2">
      <c r="A889" s="21"/>
    </row>
    <row r="890" spans="1:1" x14ac:dyDescent="0.2">
      <c r="A890" s="21"/>
    </row>
    <row r="891" spans="1:1" x14ac:dyDescent="0.2">
      <c r="A891" s="21"/>
    </row>
    <row r="892" spans="1:1" x14ac:dyDescent="0.2">
      <c r="A892" s="21"/>
    </row>
    <row r="893" spans="1:1" x14ac:dyDescent="0.2">
      <c r="A893" s="21"/>
    </row>
    <row r="894" spans="1:1" x14ac:dyDescent="0.2">
      <c r="A894" s="21"/>
    </row>
    <row r="895" spans="1:1" x14ac:dyDescent="0.2">
      <c r="A895" s="21"/>
    </row>
    <row r="896" spans="1:1" x14ac:dyDescent="0.2">
      <c r="A896" s="21"/>
    </row>
    <row r="897" spans="1:1" x14ac:dyDescent="0.2">
      <c r="A897" s="21"/>
    </row>
    <row r="898" spans="1:1" x14ac:dyDescent="0.2">
      <c r="A898" s="21"/>
    </row>
    <row r="899" spans="1:1" x14ac:dyDescent="0.2">
      <c r="A899" s="21"/>
    </row>
    <row r="900" spans="1:1" x14ac:dyDescent="0.2">
      <c r="A900" s="21"/>
    </row>
    <row r="901" spans="1:1" x14ac:dyDescent="0.2">
      <c r="A901" s="21"/>
    </row>
    <row r="902" spans="1:1" x14ac:dyDescent="0.2">
      <c r="A902" s="21"/>
    </row>
    <row r="903" spans="1:1" x14ac:dyDescent="0.2">
      <c r="A903" s="21"/>
    </row>
    <row r="904" spans="1:1" x14ac:dyDescent="0.2">
      <c r="A904" s="21"/>
    </row>
    <row r="905" spans="1:1" x14ac:dyDescent="0.2">
      <c r="A905" s="21"/>
    </row>
    <row r="906" spans="1:1" x14ac:dyDescent="0.2">
      <c r="A906" s="21"/>
    </row>
    <row r="907" spans="1:1" x14ac:dyDescent="0.2">
      <c r="A907" s="21"/>
    </row>
    <row r="908" spans="1:1" x14ac:dyDescent="0.2">
      <c r="A908" s="21"/>
    </row>
    <row r="909" spans="1:1" x14ac:dyDescent="0.2">
      <c r="A909" s="21"/>
    </row>
    <row r="910" spans="1:1" x14ac:dyDescent="0.2">
      <c r="A910" s="21"/>
    </row>
    <row r="911" spans="1:1" x14ac:dyDescent="0.2">
      <c r="A911" s="21"/>
    </row>
    <row r="912" spans="1:1" x14ac:dyDescent="0.2">
      <c r="A912" s="21"/>
    </row>
    <row r="913" spans="1:1" x14ac:dyDescent="0.2">
      <c r="A913" s="21"/>
    </row>
    <row r="914" spans="1:1" x14ac:dyDescent="0.2">
      <c r="A914" s="21"/>
    </row>
    <row r="915" spans="1:1" x14ac:dyDescent="0.2">
      <c r="A915" s="21"/>
    </row>
    <row r="916" spans="1:1" x14ac:dyDescent="0.2">
      <c r="A916" s="21"/>
    </row>
    <row r="917" spans="1:1" x14ac:dyDescent="0.2">
      <c r="A917" s="21"/>
    </row>
    <row r="918" spans="1:1" x14ac:dyDescent="0.2">
      <c r="A918" s="21"/>
    </row>
    <row r="919" spans="1:1" x14ac:dyDescent="0.2">
      <c r="A919" s="21"/>
    </row>
    <row r="920" spans="1:1" x14ac:dyDescent="0.2">
      <c r="A920" s="21"/>
    </row>
    <row r="921" spans="1:1" x14ac:dyDescent="0.2">
      <c r="A921" s="21"/>
    </row>
    <row r="922" spans="1:1" x14ac:dyDescent="0.2">
      <c r="A922" s="21"/>
    </row>
    <row r="923" spans="1:1" x14ac:dyDescent="0.2">
      <c r="A923" s="21"/>
    </row>
    <row r="924" spans="1:1" x14ac:dyDescent="0.2">
      <c r="A924" s="21"/>
    </row>
    <row r="925" spans="1:1" x14ac:dyDescent="0.2">
      <c r="A925" s="21"/>
    </row>
    <row r="926" spans="1:1" x14ac:dyDescent="0.2">
      <c r="A926" s="21"/>
    </row>
    <row r="927" spans="1:1" x14ac:dyDescent="0.2">
      <c r="A927" s="21"/>
    </row>
    <row r="928" spans="1:1" x14ac:dyDescent="0.2">
      <c r="A928" s="21"/>
    </row>
    <row r="929" spans="1:1" x14ac:dyDescent="0.2">
      <c r="A929" s="21"/>
    </row>
    <row r="930" spans="1:1" x14ac:dyDescent="0.2">
      <c r="A930" s="21"/>
    </row>
    <row r="931" spans="1:1" x14ac:dyDescent="0.2">
      <c r="A931" s="21"/>
    </row>
    <row r="932" spans="1:1" x14ac:dyDescent="0.2">
      <c r="A932" s="21"/>
    </row>
    <row r="933" spans="1:1" x14ac:dyDescent="0.2">
      <c r="A933" s="21"/>
    </row>
    <row r="934" spans="1:1" x14ac:dyDescent="0.2">
      <c r="A934" s="21"/>
    </row>
    <row r="935" spans="1:1" x14ac:dyDescent="0.2">
      <c r="A935" s="21"/>
    </row>
    <row r="936" spans="1:1" x14ac:dyDescent="0.2">
      <c r="A936" s="21"/>
    </row>
    <row r="937" spans="1:1" x14ac:dyDescent="0.2">
      <c r="A937" s="21"/>
    </row>
    <row r="938" spans="1:1" x14ac:dyDescent="0.2">
      <c r="A938" s="21"/>
    </row>
    <row r="939" spans="1:1" x14ac:dyDescent="0.2">
      <c r="A939" s="21"/>
    </row>
    <row r="940" spans="1:1" x14ac:dyDescent="0.2">
      <c r="A940" s="21"/>
    </row>
    <row r="941" spans="1:1" x14ac:dyDescent="0.2">
      <c r="A941" s="21"/>
    </row>
    <row r="942" spans="1:1" x14ac:dyDescent="0.2">
      <c r="A942" s="21"/>
    </row>
    <row r="943" spans="1:1" x14ac:dyDescent="0.2">
      <c r="A943" s="21"/>
    </row>
    <row r="944" spans="1:1" x14ac:dyDescent="0.2">
      <c r="A944" s="21"/>
    </row>
    <row r="945" spans="1:1" x14ac:dyDescent="0.2">
      <c r="A945" s="21"/>
    </row>
    <row r="946" spans="1:1" x14ac:dyDescent="0.2">
      <c r="A946" s="21"/>
    </row>
    <row r="947" spans="1:1" x14ac:dyDescent="0.2">
      <c r="A947" s="21"/>
    </row>
    <row r="948" spans="1:1" x14ac:dyDescent="0.2">
      <c r="A948" s="21"/>
    </row>
    <row r="949" spans="1:1" x14ac:dyDescent="0.2">
      <c r="A949" s="21"/>
    </row>
    <row r="950" spans="1:1" x14ac:dyDescent="0.2">
      <c r="A950" s="21"/>
    </row>
    <row r="951" spans="1:1" x14ac:dyDescent="0.2">
      <c r="A951" s="21"/>
    </row>
    <row r="952" spans="1:1" x14ac:dyDescent="0.2">
      <c r="A952" s="21"/>
    </row>
    <row r="953" spans="1:1" x14ac:dyDescent="0.2">
      <c r="A953" s="21"/>
    </row>
    <row r="954" spans="1:1" x14ac:dyDescent="0.2">
      <c r="A954" s="21"/>
    </row>
    <row r="955" spans="1:1" x14ac:dyDescent="0.2">
      <c r="A955" s="21"/>
    </row>
    <row r="956" spans="1:1" x14ac:dyDescent="0.2">
      <c r="A956" s="21"/>
    </row>
    <row r="957" spans="1:1" x14ac:dyDescent="0.2">
      <c r="A957" s="21"/>
    </row>
    <row r="958" spans="1:1" x14ac:dyDescent="0.2">
      <c r="A958" s="21"/>
    </row>
    <row r="959" spans="1:1" x14ac:dyDescent="0.2">
      <c r="A959" s="21"/>
    </row>
    <row r="960" spans="1:1" x14ac:dyDescent="0.2">
      <c r="A960" s="21"/>
    </row>
    <row r="961" spans="1:1" x14ac:dyDescent="0.2">
      <c r="A961" s="21"/>
    </row>
    <row r="962" spans="1:1" x14ac:dyDescent="0.2">
      <c r="A962" s="21"/>
    </row>
    <row r="963" spans="1:1" x14ac:dyDescent="0.2">
      <c r="A963" s="21"/>
    </row>
    <row r="964" spans="1:1" x14ac:dyDescent="0.2">
      <c r="A964" s="21"/>
    </row>
    <row r="965" spans="1:1" x14ac:dyDescent="0.2">
      <c r="A965" s="21"/>
    </row>
    <row r="966" spans="1:1" x14ac:dyDescent="0.2">
      <c r="A966" s="21"/>
    </row>
    <row r="967" spans="1:1" x14ac:dyDescent="0.2">
      <c r="A967" s="21"/>
    </row>
    <row r="968" spans="1:1" x14ac:dyDescent="0.2">
      <c r="A968" s="21"/>
    </row>
    <row r="969" spans="1:1" x14ac:dyDescent="0.2">
      <c r="A969" s="21"/>
    </row>
    <row r="970" spans="1:1" x14ac:dyDescent="0.2">
      <c r="A970" s="21"/>
    </row>
    <row r="971" spans="1:1" x14ac:dyDescent="0.2">
      <c r="A971" s="21"/>
    </row>
    <row r="972" spans="1:1" x14ac:dyDescent="0.2">
      <c r="A972" s="21"/>
    </row>
    <row r="973" spans="1:1" x14ac:dyDescent="0.2">
      <c r="A973" s="21"/>
    </row>
    <row r="974" spans="1:1" x14ac:dyDescent="0.2">
      <c r="A974" s="21"/>
    </row>
    <row r="975" spans="1:1" x14ac:dyDescent="0.2">
      <c r="A975" s="21"/>
    </row>
    <row r="976" spans="1:1" x14ac:dyDescent="0.2">
      <c r="A976" s="21"/>
    </row>
    <row r="977" spans="1:1" x14ac:dyDescent="0.2">
      <c r="A977" s="21"/>
    </row>
    <row r="978" spans="1:1" x14ac:dyDescent="0.2">
      <c r="A978" s="21"/>
    </row>
    <row r="979" spans="1:1" x14ac:dyDescent="0.2">
      <c r="A979" s="21"/>
    </row>
    <row r="980" spans="1:1" x14ac:dyDescent="0.2">
      <c r="A980" s="21"/>
    </row>
    <row r="981" spans="1:1" x14ac:dyDescent="0.2">
      <c r="A981" s="21"/>
    </row>
    <row r="982" spans="1:1" x14ac:dyDescent="0.2">
      <c r="A982" s="21"/>
    </row>
    <row r="983" spans="1:1" x14ac:dyDescent="0.2">
      <c r="A983" s="21"/>
    </row>
    <row r="984" spans="1:1" x14ac:dyDescent="0.2">
      <c r="A984" s="21"/>
    </row>
    <row r="985" spans="1:1" x14ac:dyDescent="0.2">
      <c r="A985" s="21"/>
    </row>
    <row r="986" spans="1:1" x14ac:dyDescent="0.2">
      <c r="A986" s="21"/>
    </row>
    <row r="987" spans="1:1" x14ac:dyDescent="0.2">
      <c r="A987" s="21"/>
    </row>
    <row r="988" spans="1:1" x14ac:dyDescent="0.2">
      <c r="A988" s="21"/>
    </row>
    <row r="989" spans="1:1" x14ac:dyDescent="0.2">
      <c r="A989" s="21"/>
    </row>
    <row r="990" spans="1:1" x14ac:dyDescent="0.2">
      <c r="A990" s="21"/>
    </row>
    <row r="991" spans="1:1" x14ac:dyDescent="0.2">
      <c r="A991" s="21"/>
    </row>
    <row r="992" spans="1:1" x14ac:dyDescent="0.2">
      <c r="A992" s="21"/>
    </row>
    <row r="993" spans="1:1" x14ac:dyDescent="0.2">
      <c r="A993" s="21"/>
    </row>
    <row r="994" spans="1:1" x14ac:dyDescent="0.2">
      <c r="A994" s="21"/>
    </row>
    <row r="995" spans="1:1" x14ac:dyDescent="0.2">
      <c r="A995" s="21"/>
    </row>
    <row r="996" spans="1:1" x14ac:dyDescent="0.2">
      <c r="A996" s="21"/>
    </row>
    <row r="997" spans="1:1" x14ac:dyDescent="0.2">
      <c r="A997" s="21"/>
    </row>
    <row r="998" spans="1:1" x14ac:dyDescent="0.2">
      <c r="A998" s="21"/>
    </row>
    <row r="999" spans="1:1" x14ac:dyDescent="0.2">
      <c r="A999" s="21"/>
    </row>
    <row r="1000" spans="1:1" x14ac:dyDescent="0.2">
      <c r="A1000"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959"/>
  <sheetViews>
    <sheetView workbookViewId="0"/>
  </sheetViews>
  <sheetFormatPr defaultColWidth="12.5703125" defaultRowHeight="15.75" customHeight="1" x14ac:dyDescent="0.2"/>
  <sheetData>
    <row r="1" spans="1:3" ht="15.75" customHeight="1" x14ac:dyDescent="0.25">
      <c r="A1" s="2" t="s">
        <v>1</v>
      </c>
      <c r="B1" s="2" t="s">
        <v>2</v>
      </c>
      <c r="C1" s="2" t="s">
        <v>3</v>
      </c>
    </row>
    <row r="2" spans="1:3" ht="15.75" customHeight="1" x14ac:dyDescent="0.25">
      <c r="A2" s="3" t="s">
        <v>4</v>
      </c>
      <c r="B2" s="3" t="s">
        <v>5</v>
      </c>
      <c r="C2" s="3" t="s">
        <v>6</v>
      </c>
    </row>
    <row r="3" spans="1:3" ht="15.75" customHeight="1" x14ac:dyDescent="0.25">
      <c r="A3" s="3" t="s">
        <v>7</v>
      </c>
      <c r="B3" s="3" t="s">
        <v>5</v>
      </c>
      <c r="C3" s="3" t="s">
        <v>6</v>
      </c>
    </row>
    <row r="4" spans="1:3" ht="15.75" customHeight="1" x14ac:dyDescent="0.25">
      <c r="A4" s="3" t="s">
        <v>8</v>
      </c>
      <c r="B4" s="3" t="s">
        <v>9</v>
      </c>
      <c r="C4" s="3" t="s">
        <v>6</v>
      </c>
    </row>
    <row r="5" spans="1:3" ht="15.75" customHeight="1" x14ac:dyDescent="0.25">
      <c r="A5" s="3" t="s">
        <v>10</v>
      </c>
      <c r="B5" s="3" t="s">
        <v>9</v>
      </c>
      <c r="C5" s="3" t="s">
        <v>6</v>
      </c>
    </row>
    <row r="6" spans="1:3" ht="15.75" customHeight="1" x14ac:dyDescent="0.25">
      <c r="A6" s="3" t="s">
        <v>11</v>
      </c>
      <c r="B6" s="3" t="s">
        <v>9</v>
      </c>
      <c r="C6" s="3" t="s">
        <v>6</v>
      </c>
    </row>
    <row r="7" spans="1:3" ht="15.75" customHeight="1" x14ac:dyDescent="0.25">
      <c r="A7" s="3" t="s">
        <v>4</v>
      </c>
      <c r="B7" s="3" t="s">
        <v>9</v>
      </c>
      <c r="C7" s="3" t="s">
        <v>6</v>
      </c>
    </row>
    <row r="8" spans="1:3" ht="15.75" customHeight="1" x14ac:dyDescent="0.25">
      <c r="A8" s="3" t="s">
        <v>12</v>
      </c>
      <c r="B8" s="3" t="s">
        <v>9</v>
      </c>
      <c r="C8" s="3" t="s">
        <v>6</v>
      </c>
    </row>
    <row r="9" spans="1:3" ht="15.75" customHeight="1" x14ac:dyDescent="0.25">
      <c r="A9" s="3" t="s">
        <v>13</v>
      </c>
      <c r="B9" s="3" t="s">
        <v>9</v>
      </c>
      <c r="C9" s="3" t="s">
        <v>6</v>
      </c>
    </row>
    <row r="10" spans="1:3" ht="15.75" customHeight="1" x14ac:dyDescent="0.25">
      <c r="A10" s="3" t="s">
        <v>14</v>
      </c>
      <c r="B10" s="3" t="s">
        <v>9</v>
      </c>
      <c r="C10" s="3" t="s">
        <v>6</v>
      </c>
    </row>
    <row r="11" spans="1:3" ht="15.75" customHeight="1" x14ac:dyDescent="0.25">
      <c r="A11" s="3" t="s">
        <v>16</v>
      </c>
      <c r="B11" s="3" t="s">
        <v>9</v>
      </c>
      <c r="C11" s="3" t="s">
        <v>6</v>
      </c>
    </row>
    <row r="12" spans="1:3" ht="15.75" customHeight="1" x14ac:dyDescent="0.25">
      <c r="A12" s="3" t="s">
        <v>18</v>
      </c>
      <c r="B12" s="3" t="s">
        <v>9</v>
      </c>
      <c r="C12" s="3" t="s">
        <v>6</v>
      </c>
    </row>
    <row r="13" spans="1:3" ht="15.75" customHeight="1" x14ac:dyDescent="0.25">
      <c r="A13" s="3" t="s">
        <v>20</v>
      </c>
      <c r="B13" s="3" t="s">
        <v>9</v>
      </c>
      <c r="C13" s="3" t="s">
        <v>6</v>
      </c>
    </row>
    <row r="14" spans="1:3" ht="15.75" customHeight="1" x14ac:dyDescent="0.25">
      <c r="A14" s="3" t="s">
        <v>22</v>
      </c>
      <c r="B14" s="3" t="s">
        <v>9</v>
      </c>
      <c r="C14" s="3" t="s">
        <v>6</v>
      </c>
    </row>
    <row r="15" spans="1:3" ht="15.75" customHeight="1" x14ac:dyDescent="0.25">
      <c r="A15" s="3" t="s">
        <v>25</v>
      </c>
      <c r="B15" s="3" t="s">
        <v>9</v>
      </c>
      <c r="C15" s="3" t="s">
        <v>6</v>
      </c>
    </row>
    <row r="16" spans="1:3" ht="15.75" customHeight="1" x14ac:dyDescent="0.25">
      <c r="A16" s="3" t="s">
        <v>27</v>
      </c>
      <c r="B16" s="3" t="s">
        <v>9</v>
      </c>
      <c r="C16" s="3" t="s">
        <v>6</v>
      </c>
    </row>
    <row r="17" spans="1:3" ht="15.75" customHeight="1" x14ac:dyDescent="0.25">
      <c r="A17" s="3" t="s">
        <v>7</v>
      </c>
      <c r="B17" s="3" t="s">
        <v>9</v>
      </c>
      <c r="C17" s="3" t="s">
        <v>6</v>
      </c>
    </row>
    <row r="18" spans="1:3" ht="15.75" customHeight="1" x14ac:dyDescent="0.25">
      <c r="A18" s="3" t="s">
        <v>31</v>
      </c>
      <c r="B18" s="3" t="s">
        <v>9</v>
      </c>
      <c r="C18" s="3" t="s">
        <v>6</v>
      </c>
    </row>
    <row r="19" spans="1:3" ht="15.75" customHeight="1" x14ac:dyDescent="0.25">
      <c r="A19" s="3" t="s">
        <v>33</v>
      </c>
      <c r="B19" s="3" t="s">
        <v>9</v>
      </c>
      <c r="C19" s="3" t="s">
        <v>6</v>
      </c>
    </row>
    <row r="20" spans="1:3" ht="15.75" customHeight="1" x14ac:dyDescent="0.25">
      <c r="A20" s="3" t="s">
        <v>36</v>
      </c>
      <c r="B20" s="3" t="s">
        <v>9</v>
      </c>
      <c r="C20" s="3" t="s">
        <v>6</v>
      </c>
    </row>
    <row r="21" spans="1:3" ht="15.75" customHeight="1" x14ac:dyDescent="0.25">
      <c r="A21" s="3" t="s">
        <v>38</v>
      </c>
      <c r="B21" s="3" t="s">
        <v>9</v>
      </c>
      <c r="C21" s="3" t="s">
        <v>6</v>
      </c>
    </row>
    <row r="22" spans="1:3" ht="15.75" customHeight="1" x14ac:dyDescent="0.25">
      <c r="A22" s="3" t="s">
        <v>41</v>
      </c>
      <c r="B22" s="3" t="s">
        <v>9</v>
      </c>
      <c r="C22" s="3" t="s">
        <v>6</v>
      </c>
    </row>
    <row r="23" spans="1:3" ht="15.75" customHeight="1" x14ac:dyDescent="0.25">
      <c r="A23" s="3" t="s">
        <v>43</v>
      </c>
      <c r="B23" s="3" t="s">
        <v>9</v>
      </c>
      <c r="C23" s="3" t="s">
        <v>6</v>
      </c>
    </row>
    <row r="24" spans="1:3" ht="15.75" customHeight="1" x14ac:dyDescent="0.25">
      <c r="A24" s="3" t="s">
        <v>46</v>
      </c>
      <c r="B24" s="3" t="s">
        <v>9</v>
      </c>
      <c r="C24" s="3" t="s">
        <v>6</v>
      </c>
    </row>
    <row r="25" spans="1:3" ht="15.75" customHeight="1" x14ac:dyDescent="0.25">
      <c r="A25" s="3" t="s">
        <v>49</v>
      </c>
      <c r="B25" s="3" t="s">
        <v>9</v>
      </c>
      <c r="C25" s="3" t="s">
        <v>6</v>
      </c>
    </row>
    <row r="26" spans="1:3" ht="15.75" customHeight="1" x14ac:dyDescent="0.25">
      <c r="A26" s="3" t="s">
        <v>52</v>
      </c>
      <c r="B26" s="3" t="s">
        <v>9</v>
      </c>
      <c r="C26" s="3" t="s">
        <v>6</v>
      </c>
    </row>
    <row r="27" spans="1:3" ht="15.75" customHeight="1" x14ac:dyDescent="0.25">
      <c r="A27" s="3" t="s">
        <v>55</v>
      </c>
      <c r="B27" s="3" t="s">
        <v>9</v>
      </c>
      <c r="C27" s="3" t="s">
        <v>6</v>
      </c>
    </row>
    <row r="28" spans="1:3" ht="15.75" customHeight="1" x14ac:dyDescent="0.25">
      <c r="A28" s="3" t="s">
        <v>59</v>
      </c>
      <c r="B28" s="3" t="s">
        <v>9</v>
      </c>
      <c r="C28" s="3" t="s">
        <v>6</v>
      </c>
    </row>
    <row r="29" spans="1:3" ht="15.75" customHeight="1" x14ac:dyDescent="0.25">
      <c r="A29" s="3" t="s">
        <v>62</v>
      </c>
      <c r="B29" s="3" t="s">
        <v>9</v>
      </c>
      <c r="C29" s="3" t="s">
        <v>6</v>
      </c>
    </row>
    <row r="30" spans="1:3" ht="15.75" customHeight="1" x14ac:dyDescent="0.25">
      <c r="A30" s="3" t="s">
        <v>64</v>
      </c>
      <c r="B30" s="3" t="s">
        <v>9</v>
      </c>
      <c r="C30" s="3" t="s">
        <v>6</v>
      </c>
    </row>
    <row r="31" spans="1:3" ht="15.75" customHeight="1" x14ac:dyDescent="0.25">
      <c r="A31" s="3" t="s">
        <v>67</v>
      </c>
      <c r="B31" s="3" t="s">
        <v>9</v>
      </c>
      <c r="C31" s="3" t="s">
        <v>6</v>
      </c>
    </row>
    <row r="32" spans="1:3" ht="15.75" customHeight="1" x14ac:dyDescent="0.25">
      <c r="A32" s="3" t="s">
        <v>70</v>
      </c>
      <c r="B32" s="3" t="s">
        <v>9</v>
      </c>
      <c r="C32" s="3" t="s">
        <v>6</v>
      </c>
    </row>
    <row r="33" spans="1:3" ht="15.75" customHeight="1" x14ac:dyDescent="0.25">
      <c r="A33" s="3" t="s">
        <v>72</v>
      </c>
      <c r="B33" s="3" t="s">
        <v>9</v>
      </c>
      <c r="C33" s="3" t="s">
        <v>6</v>
      </c>
    </row>
    <row r="34" spans="1:3" ht="15.75" customHeight="1" x14ac:dyDescent="0.25">
      <c r="A34" s="3" t="s">
        <v>75</v>
      </c>
      <c r="B34" s="3" t="s">
        <v>9</v>
      </c>
      <c r="C34" s="3" t="s">
        <v>6</v>
      </c>
    </row>
    <row r="35" spans="1:3" ht="15.75" customHeight="1" x14ac:dyDescent="0.25">
      <c r="A35" s="3" t="s">
        <v>78</v>
      </c>
      <c r="B35" s="3" t="s">
        <v>9</v>
      </c>
      <c r="C35" s="3" t="s">
        <v>6</v>
      </c>
    </row>
    <row r="36" spans="1:3" ht="15.75" customHeight="1" x14ac:dyDescent="0.25">
      <c r="A36" s="3" t="s">
        <v>81</v>
      </c>
      <c r="B36" s="3" t="s">
        <v>9</v>
      </c>
      <c r="C36" s="3" t="s">
        <v>6</v>
      </c>
    </row>
    <row r="37" spans="1:3" ht="15.75" customHeight="1" x14ac:dyDescent="0.25">
      <c r="A37" s="3" t="s">
        <v>83</v>
      </c>
      <c r="B37" s="3" t="s">
        <v>9</v>
      </c>
      <c r="C37" s="3" t="s">
        <v>6</v>
      </c>
    </row>
    <row r="38" spans="1:3" ht="15.75" customHeight="1" x14ac:dyDescent="0.25">
      <c r="A38" s="3" t="s">
        <v>84</v>
      </c>
      <c r="B38" s="3" t="s">
        <v>9</v>
      </c>
      <c r="C38" s="3" t="s">
        <v>6</v>
      </c>
    </row>
    <row r="39" spans="1:3" ht="15" x14ac:dyDescent="0.25">
      <c r="A39" s="3" t="s">
        <v>85</v>
      </c>
      <c r="B39" s="3" t="s">
        <v>9</v>
      </c>
      <c r="C39" s="3" t="s">
        <v>6</v>
      </c>
    </row>
    <row r="40" spans="1:3" ht="15" x14ac:dyDescent="0.25">
      <c r="A40" s="3" t="s">
        <v>86</v>
      </c>
      <c r="B40" s="3" t="s">
        <v>9</v>
      </c>
      <c r="C40" s="3" t="s">
        <v>6</v>
      </c>
    </row>
    <row r="41" spans="1:3" ht="15" x14ac:dyDescent="0.25">
      <c r="A41" s="3" t="s">
        <v>87</v>
      </c>
      <c r="B41" s="3" t="s">
        <v>9</v>
      </c>
      <c r="C41" s="3" t="s">
        <v>6</v>
      </c>
    </row>
    <row r="42" spans="1:3" ht="15" x14ac:dyDescent="0.25">
      <c r="A42" s="3" t="s">
        <v>88</v>
      </c>
      <c r="B42" s="3" t="s">
        <v>9</v>
      </c>
      <c r="C42" s="3" t="s">
        <v>6</v>
      </c>
    </row>
    <row r="43" spans="1:3" ht="15" x14ac:dyDescent="0.25">
      <c r="A43" s="3" t="s">
        <v>89</v>
      </c>
      <c r="B43" s="3" t="s">
        <v>9</v>
      </c>
      <c r="C43" s="3" t="s">
        <v>6</v>
      </c>
    </row>
    <row r="44" spans="1:3" ht="15" x14ac:dyDescent="0.25">
      <c r="A44" s="3" t="s">
        <v>90</v>
      </c>
      <c r="B44" s="3" t="s">
        <v>9</v>
      </c>
      <c r="C44" s="3" t="s">
        <v>6</v>
      </c>
    </row>
    <row r="45" spans="1:3" ht="15" x14ac:dyDescent="0.25">
      <c r="A45" s="3" t="s">
        <v>91</v>
      </c>
      <c r="B45" s="3" t="s">
        <v>9</v>
      </c>
      <c r="C45" s="3" t="s">
        <v>6</v>
      </c>
    </row>
    <row r="46" spans="1:3" ht="15" x14ac:dyDescent="0.25">
      <c r="A46" s="3" t="s">
        <v>92</v>
      </c>
      <c r="B46" s="3" t="s">
        <v>9</v>
      </c>
      <c r="C46" s="3" t="s">
        <v>6</v>
      </c>
    </row>
    <row r="47" spans="1:3" ht="15" x14ac:dyDescent="0.25">
      <c r="A47" s="3" t="s">
        <v>94</v>
      </c>
      <c r="B47" s="3" t="s">
        <v>9</v>
      </c>
      <c r="C47" s="3" t="s">
        <v>6</v>
      </c>
    </row>
    <row r="48" spans="1:3" ht="15" x14ac:dyDescent="0.25">
      <c r="A48" s="3" t="s">
        <v>95</v>
      </c>
      <c r="B48" s="3" t="s">
        <v>9</v>
      </c>
      <c r="C48" s="3" t="s">
        <v>6</v>
      </c>
    </row>
    <row r="49" spans="1:3" ht="15" x14ac:dyDescent="0.25">
      <c r="A49" s="3" t="s">
        <v>97</v>
      </c>
      <c r="B49" s="3" t="s">
        <v>9</v>
      </c>
      <c r="C49" s="3" t="s">
        <v>6</v>
      </c>
    </row>
    <row r="50" spans="1:3" ht="15" x14ac:dyDescent="0.25">
      <c r="A50" s="3" t="s">
        <v>98</v>
      </c>
      <c r="B50" s="3" t="s">
        <v>9</v>
      </c>
      <c r="C50" s="3" t="s">
        <v>6</v>
      </c>
    </row>
    <row r="51" spans="1:3" ht="15" x14ac:dyDescent="0.25">
      <c r="A51" s="3" t="s">
        <v>99</v>
      </c>
      <c r="B51" s="3" t="s">
        <v>9</v>
      </c>
      <c r="C51" s="3" t="s">
        <v>6</v>
      </c>
    </row>
    <row r="52" spans="1:3" ht="15" x14ac:dyDescent="0.25">
      <c r="A52" s="3" t="s">
        <v>100</v>
      </c>
      <c r="B52" s="3" t="s">
        <v>9</v>
      </c>
      <c r="C52" s="3" t="s">
        <v>6</v>
      </c>
    </row>
    <row r="53" spans="1:3" ht="15" x14ac:dyDescent="0.25">
      <c r="A53" s="3" t="s">
        <v>101</v>
      </c>
      <c r="B53" s="3" t="s">
        <v>9</v>
      </c>
      <c r="C53" s="3" t="s">
        <v>6</v>
      </c>
    </row>
    <row r="54" spans="1:3" ht="15" x14ac:dyDescent="0.25">
      <c r="A54" s="3" t="s">
        <v>102</v>
      </c>
      <c r="B54" s="3" t="s">
        <v>9</v>
      </c>
      <c r="C54" s="3" t="s">
        <v>6</v>
      </c>
    </row>
    <row r="55" spans="1:3" ht="15" x14ac:dyDescent="0.25">
      <c r="A55" s="3" t="s">
        <v>103</v>
      </c>
      <c r="B55" s="3" t="s">
        <v>104</v>
      </c>
      <c r="C55" s="3" t="s">
        <v>105</v>
      </c>
    </row>
    <row r="56" spans="1:3" ht="15" x14ac:dyDescent="0.25">
      <c r="A56" s="3" t="s">
        <v>10</v>
      </c>
      <c r="B56" s="3" t="s">
        <v>104</v>
      </c>
      <c r="C56" s="3" t="s">
        <v>105</v>
      </c>
    </row>
    <row r="57" spans="1:3" ht="15" x14ac:dyDescent="0.25">
      <c r="A57" s="3" t="s">
        <v>106</v>
      </c>
      <c r="B57" s="3" t="s">
        <v>104</v>
      </c>
      <c r="C57" s="3" t="s">
        <v>105</v>
      </c>
    </row>
    <row r="58" spans="1:3" ht="15" x14ac:dyDescent="0.25">
      <c r="A58" s="3" t="s">
        <v>7</v>
      </c>
      <c r="B58" s="3" t="s">
        <v>104</v>
      </c>
      <c r="C58" s="3" t="s">
        <v>105</v>
      </c>
    </row>
    <row r="59" spans="1:3" ht="15" x14ac:dyDescent="0.25">
      <c r="A59" s="3" t="s">
        <v>107</v>
      </c>
      <c r="B59" s="3" t="s">
        <v>104</v>
      </c>
      <c r="C59" s="3" t="s">
        <v>105</v>
      </c>
    </row>
    <row r="60" spans="1:3" ht="15" x14ac:dyDescent="0.25">
      <c r="A60" s="3" t="s">
        <v>49</v>
      </c>
      <c r="B60" s="3" t="s">
        <v>104</v>
      </c>
      <c r="C60" s="3" t="s">
        <v>105</v>
      </c>
    </row>
    <row r="61" spans="1:3" ht="15" x14ac:dyDescent="0.25">
      <c r="A61" s="3" t="s">
        <v>52</v>
      </c>
      <c r="B61" s="3" t="s">
        <v>104</v>
      </c>
      <c r="C61" s="3" t="s">
        <v>105</v>
      </c>
    </row>
    <row r="62" spans="1:3" ht="15" x14ac:dyDescent="0.25">
      <c r="A62" s="3" t="s">
        <v>55</v>
      </c>
      <c r="B62" s="3" t="s">
        <v>104</v>
      </c>
      <c r="C62" s="3" t="s">
        <v>105</v>
      </c>
    </row>
    <row r="63" spans="1:3" ht="15" x14ac:dyDescent="0.25">
      <c r="A63" s="3" t="s">
        <v>108</v>
      </c>
      <c r="B63" s="3" t="s">
        <v>104</v>
      </c>
      <c r="C63" s="3" t="s">
        <v>105</v>
      </c>
    </row>
    <row r="64" spans="1:3" ht="15" x14ac:dyDescent="0.25">
      <c r="A64" s="3" t="s">
        <v>109</v>
      </c>
      <c r="B64" s="3" t="s">
        <v>104</v>
      </c>
      <c r="C64" s="3" t="s">
        <v>105</v>
      </c>
    </row>
    <row r="65" spans="1:3" ht="15" x14ac:dyDescent="0.25">
      <c r="A65" s="3" t="s">
        <v>111</v>
      </c>
      <c r="B65" s="3" t="s">
        <v>104</v>
      </c>
      <c r="C65" s="3" t="s">
        <v>105</v>
      </c>
    </row>
    <row r="66" spans="1:3" ht="15" x14ac:dyDescent="0.25">
      <c r="A66" s="3" t="s">
        <v>62</v>
      </c>
      <c r="B66" s="3" t="s">
        <v>104</v>
      </c>
      <c r="C66" s="3" t="s">
        <v>105</v>
      </c>
    </row>
    <row r="67" spans="1:3" ht="15" x14ac:dyDescent="0.25">
      <c r="A67" s="3" t="s">
        <v>112</v>
      </c>
      <c r="B67" s="3" t="s">
        <v>104</v>
      </c>
      <c r="C67" s="3" t="s">
        <v>105</v>
      </c>
    </row>
    <row r="68" spans="1:3" ht="15" x14ac:dyDescent="0.25">
      <c r="A68" s="3" t="s">
        <v>70</v>
      </c>
      <c r="B68" s="3" t="s">
        <v>104</v>
      </c>
      <c r="C68" s="3" t="s">
        <v>105</v>
      </c>
    </row>
    <row r="69" spans="1:3" ht="15" x14ac:dyDescent="0.25">
      <c r="A69" s="3" t="s">
        <v>114</v>
      </c>
      <c r="B69" s="3" t="s">
        <v>104</v>
      </c>
      <c r="C69" s="3" t="s">
        <v>105</v>
      </c>
    </row>
    <row r="70" spans="1:3" ht="15" x14ac:dyDescent="0.25">
      <c r="A70" s="3" t="s">
        <v>75</v>
      </c>
      <c r="B70" s="3" t="s">
        <v>104</v>
      </c>
      <c r="C70" s="3" t="s">
        <v>105</v>
      </c>
    </row>
    <row r="71" spans="1:3" ht="15" x14ac:dyDescent="0.25">
      <c r="A71" s="3" t="s">
        <v>116</v>
      </c>
      <c r="B71" s="3" t="s">
        <v>104</v>
      </c>
      <c r="C71" s="3" t="s">
        <v>105</v>
      </c>
    </row>
    <row r="72" spans="1:3" ht="15" x14ac:dyDescent="0.25">
      <c r="A72" s="3" t="s">
        <v>87</v>
      </c>
      <c r="B72" s="3" t="s">
        <v>104</v>
      </c>
      <c r="C72" s="3" t="s">
        <v>105</v>
      </c>
    </row>
    <row r="73" spans="1:3" ht="15" x14ac:dyDescent="0.25">
      <c r="A73" s="3" t="s">
        <v>117</v>
      </c>
      <c r="B73" s="3" t="s">
        <v>104</v>
      </c>
      <c r="C73" s="3" t="s">
        <v>105</v>
      </c>
    </row>
    <row r="74" spans="1:3" ht="15" x14ac:dyDescent="0.25">
      <c r="A74" s="3" t="s">
        <v>118</v>
      </c>
      <c r="B74" s="3" t="s">
        <v>104</v>
      </c>
      <c r="C74" s="3" t="s">
        <v>105</v>
      </c>
    </row>
    <row r="75" spans="1:3" ht="15" x14ac:dyDescent="0.25">
      <c r="A75" s="3" t="s">
        <v>119</v>
      </c>
      <c r="B75" s="3" t="s">
        <v>104</v>
      </c>
      <c r="C75" s="3" t="s">
        <v>105</v>
      </c>
    </row>
    <row r="76" spans="1:3" ht="15" x14ac:dyDescent="0.25">
      <c r="A76" s="3" t="s">
        <v>120</v>
      </c>
      <c r="B76" s="3" t="s">
        <v>104</v>
      </c>
      <c r="C76" s="3" t="s">
        <v>105</v>
      </c>
    </row>
    <row r="77" spans="1:3" ht="15" x14ac:dyDescent="0.25">
      <c r="A77" s="3" t="s">
        <v>122</v>
      </c>
      <c r="B77" s="3" t="s">
        <v>104</v>
      </c>
      <c r="C77" s="3" t="s">
        <v>105</v>
      </c>
    </row>
    <row r="78" spans="1:3" ht="15" x14ac:dyDescent="0.25">
      <c r="A78" s="3" t="s">
        <v>124</v>
      </c>
      <c r="B78" s="3" t="s">
        <v>126</v>
      </c>
      <c r="C78" s="3" t="s">
        <v>105</v>
      </c>
    </row>
    <row r="79" spans="1:3" ht="15" x14ac:dyDescent="0.25">
      <c r="A79" s="3" t="s">
        <v>127</v>
      </c>
      <c r="B79" s="3" t="s">
        <v>126</v>
      </c>
      <c r="C79" s="3" t="s">
        <v>105</v>
      </c>
    </row>
    <row r="80" spans="1:3" ht="15" x14ac:dyDescent="0.25">
      <c r="A80" s="3" t="s">
        <v>11</v>
      </c>
      <c r="B80" s="3" t="s">
        <v>126</v>
      </c>
      <c r="C80" s="3" t="s">
        <v>105</v>
      </c>
    </row>
    <row r="81" spans="1:3" ht="15" x14ac:dyDescent="0.25">
      <c r="A81" s="3" t="s">
        <v>4</v>
      </c>
      <c r="B81" s="3" t="s">
        <v>126</v>
      </c>
      <c r="C81" s="3" t="s">
        <v>105</v>
      </c>
    </row>
    <row r="82" spans="1:3" ht="15" x14ac:dyDescent="0.25">
      <c r="A82" s="3" t="s">
        <v>133</v>
      </c>
      <c r="B82" s="3" t="s">
        <v>126</v>
      </c>
      <c r="C82" s="3" t="s">
        <v>105</v>
      </c>
    </row>
    <row r="83" spans="1:3" ht="15" x14ac:dyDescent="0.25">
      <c r="A83" s="3" t="s">
        <v>135</v>
      </c>
      <c r="B83" s="3" t="s">
        <v>126</v>
      </c>
      <c r="C83" s="3" t="s">
        <v>105</v>
      </c>
    </row>
    <row r="84" spans="1:3" ht="15" x14ac:dyDescent="0.25">
      <c r="A84" s="3" t="s">
        <v>139</v>
      </c>
      <c r="B84" s="3" t="s">
        <v>126</v>
      </c>
      <c r="C84" s="3" t="s">
        <v>105</v>
      </c>
    </row>
    <row r="85" spans="1:3" ht="15" x14ac:dyDescent="0.25">
      <c r="A85" s="3" t="s">
        <v>142</v>
      </c>
      <c r="B85" s="3" t="s">
        <v>126</v>
      </c>
      <c r="C85" s="3" t="s">
        <v>105</v>
      </c>
    </row>
    <row r="86" spans="1:3" ht="15" x14ac:dyDescent="0.25">
      <c r="A86" s="3" t="s">
        <v>146</v>
      </c>
      <c r="B86" s="3" t="s">
        <v>126</v>
      </c>
      <c r="C86" s="3" t="s">
        <v>105</v>
      </c>
    </row>
    <row r="87" spans="1:3" ht="15" x14ac:dyDescent="0.25">
      <c r="A87" s="3" t="s">
        <v>43</v>
      </c>
      <c r="B87" s="3" t="s">
        <v>126</v>
      </c>
      <c r="C87" s="3" t="s">
        <v>105</v>
      </c>
    </row>
    <row r="88" spans="1:3" ht="15" x14ac:dyDescent="0.25">
      <c r="A88" s="3" t="s">
        <v>149</v>
      </c>
      <c r="B88" s="3" t="s">
        <v>126</v>
      </c>
      <c r="C88" s="3" t="s">
        <v>105</v>
      </c>
    </row>
    <row r="89" spans="1:3" ht="15" x14ac:dyDescent="0.25">
      <c r="A89" s="3" t="s">
        <v>150</v>
      </c>
      <c r="B89" s="3" t="s">
        <v>126</v>
      </c>
      <c r="C89" s="3" t="s">
        <v>105</v>
      </c>
    </row>
    <row r="90" spans="1:3" ht="15" x14ac:dyDescent="0.25">
      <c r="A90" s="3" t="s">
        <v>154</v>
      </c>
      <c r="B90" s="3" t="s">
        <v>126</v>
      </c>
      <c r="C90" s="3" t="s">
        <v>105</v>
      </c>
    </row>
    <row r="91" spans="1:3" ht="15" x14ac:dyDescent="0.25">
      <c r="A91" s="3" t="s">
        <v>72</v>
      </c>
      <c r="B91" s="3" t="s">
        <v>126</v>
      </c>
      <c r="C91" s="3" t="s">
        <v>105</v>
      </c>
    </row>
    <row r="92" spans="1:3" ht="15" x14ac:dyDescent="0.25">
      <c r="A92" s="3" t="s">
        <v>158</v>
      </c>
      <c r="B92" s="3" t="s">
        <v>126</v>
      </c>
      <c r="C92" s="3" t="s">
        <v>105</v>
      </c>
    </row>
    <row r="93" spans="1:3" ht="15" x14ac:dyDescent="0.25">
      <c r="A93" s="3" t="s">
        <v>90</v>
      </c>
      <c r="B93" s="3" t="s">
        <v>126</v>
      </c>
      <c r="C93" s="3" t="s">
        <v>105</v>
      </c>
    </row>
    <row r="94" spans="1:3" ht="15" x14ac:dyDescent="0.25">
      <c r="A94" s="3" t="s">
        <v>160</v>
      </c>
      <c r="B94" s="3" t="s">
        <v>126</v>
      </c>
      <c r="C94" s="3" t="s">
        <v>105</v>
      </c>
    </row>
    <row r="95" spans="1:3" ht="15" x14ac:dyDescent="0.25">
      <c r="A95" s="3" t="s">
        <v>161</v>
      </c>
      <c r="B95" s="3" t="s">
        <v>126</v>
      </c>
      <c r="C95" s="3" t="s">
        <v>105</v>
      </c>
    </row>
    <row r="96" spans="1:3" ht="15" x14ac:dyDescent="0.25">
      <c r="A96" s="3" t="s">
        <v>162</v>
      </c>
      <c r="B96" s="3" t="s">
        <v>126</v>
      </c>
      <c r="C96" s="3" t="s">
        <v>105</v>
      </c>
    </row>
    <row r="97" spans="1:3" ht="15" x14ac:dyDescent="0.25">
      <c r="A97" s="3" t="s">
        <v>163</v>
      </c>
      <c r="B97" s="3" t="s">
        <v>126</v>
      </c>
      <c r="C97" s="3" t="s">
        <v>105</v>
      </c>
    </row>
    <row r="98" spans="1:3" ht="15" x14ac:dyDescent="0.25">
      <c r="A98" s="3" t="s">
        <v>98</v>
      </c>
      <c r="B98" s="3" t="s">
        <v>126</v>
      </c>
      <c r="C98" s="3" t="s">
        <v>105</v>
      </c>
    </row>
    <row r="99" spans="1:3" ht="15" x14ac:dyDescent="0.25">
      <c r="A99" s="3" t="s">
        <v>99</v>
      </c>
      <c r="B99" s="3" t="s">
        <v>126</v>
      </c>
      <c r="C99" s="3" t="s">
        <v>105</v>
      </c>
    </row>
    <row r="100" spans="1:3" ht="15" x14ac:dyDescent="0.25">
      <c r="A100" s="3" t="s">
        <v>131</v>
      </c>
      <c r="B100" s="3" t="s">
        <v>126</v>
      </c>
      <c r="C100" s="3" t="s">
        <v>105</v>
      </c>
    </row>
    <row r="101" spans="1:3" ht="15" x14ac:dyDescent="0.25">
      <c r="A101" s="3" t="s">
        <v>164</v>
      </c>
      <c r="B101" s="3" t="s">
        <v>166</v>
      </c>
      <c r="C101" s="3" t="s">
        <v>168</v>
      </c>
    </row>
    <row r="102" spans="1:3" ht="15" x14ac:dyDescent="0.25">
      <c r="A102" s="3" t="s">
        <v>20</v>
      </c>
      <c r="B102" s="3" t="s">
        <v>166</v>
      </c>
      <c r="C102" s="3" t="s">
        <v>168</v>
      </c>
    </row>
    <row r="103" spans="1:3" ht="15" x14ac:dyDescent="0.25">
      <c r="A103" s="3" t="s">
        <v>169</v>
      </c>
      <c r="B103" s="3" t="s">
        <v>166</v>
      </c>
      <c r="C103" s="3" t="s">
        <v>168</v>
      </c>
    </row>
    <row r="104" spans="1:3" ht="15" x14ac:dyDescent="0.25">
      <c r="A104" s="3" t="s">
        <v>170</v>
      </c>
      <c r="B104" s="3" t="s">
        <v>166</v>
      </c>
      <c r="C104" s="3" t="s">
        <v>168</v>
      </c>
    </row>
    <row r="105" spans="1:3" ht="15" x14ac:dyDescent="0.25">
      <c r="A105" s="3" t="s">
        <v>172</v>
      </c>
      <c r="B105" s="3" t="s">
        <v>166</v>
      </c>
      <c r="C105" s="3" t="s">
        <v>168</v>
      </c>
    </row>
    <row r="106" spans="1:3" ht="15" x14ac:dyDescent="0.25">
      <c r="A106" s="3" t="s">
        <v>141</v>
      </c>
      <c r="B106" s="3" t="s">
        <v>166</v>
      </c>
      <c r="C106" s="3" t="s">
        <v>168</v>
      </c>
    </row>
    <row r="107" spans="1:3" ht="15" x14ac:dyDescent="0.25">
      <c r="A107" s="3" t="s">
        <v>174</v>
      </c>
      <c r="B107" s="3" t="s">
        <v>166</v>
      </c>
      <c r="C107" s="3" t="s">
        <v>168</v>
      </c>
    </row>
    <row r="108" spans="1:3" ht="15" x14ac:dyDescent="0.25">
      <c r="A108" s="3" t="s">
        <v>175</v>
      </c>
      <c r="B108" s="3" t="s">
        <v>166</v>
      </c>
      <c r="C108" s="3" t="s">
        <v>168</v>
      </c>
    </row>
    <row r="109" spans="1:3" ht="15" x14ac:dyDescent="0.25">
      <c r="A109" s="3" t="s">
        <v>177</v>
      </c>
      <c r="B109" s="3" t="s">
        <v>166</v>
      </c>
      <c r="C109" s="3" t="s">
        <v>168</v>
      </c>
    </row>
    <row r="110" spans="1:3" ht="15" x14ac:dyDescent="0.25">
      <c r="A110" s="3" t="s">
        <v>178</v>
      </c>
      <c r="B110" s="3" t="s">
        <v>166</v>
      </c>
      <c r="C110" s="3" t="s">
        <v>168</v>
      </c>
    </row>
    <row r="111" spans="1:3" ht="15" x14ac:dyDescent="0.25">
      <c r="A111" s="3" t="s">
        <v>180</v>
      </c>
      <c r="B111" s="3" t="s">
        <v>166</v>
      </c>
      <c r="C111" s="3" t="s">
        <v>168</v>
      </c>
    </row>
    <row r="112" spans="1:3" ht="15" x14ac:dyDescent="0.25">
      <c r="A112" s="3" t="s">
        <v>181</v>
      </c>
      <c r="B112" s="3" t="s">
        <v>166</v>
      </c>
      <c r="C112" s="3" t="s">
        <v>168</v>
      </c>
    </row>
    <row r="113" spans="1:3" ht="15" x14ac:dyDescent="0.25">
      <c r="A113" s="3" t="s">
        <v>182</v>
      </c>
      <c r="B113" s="3" t="s">
        <v>166</v>
      </c>
      <c r="C113" s="3" t="s">
        <v>168</v>
      </c>
    </row>
    <row r="114" spans="1:3" ht="15" x14ac:dyDescent="0.25">
      <c r="A114" s="3" t="s">
        <v>183</v>
      </c>
      <c r="B114" s="3" t="s">
        <v>184</v>
      </c>
      <c r="C114" s="3" t="s">
        <v>105</v>
      </c>
    </row>
    <row r="115" spans="1:3" ht="15" x14ac:dyDescent="0.25">
      <c r="A115" s="3" t="s">
        <v>185</v>
      </c>
      <c r="B115" s="3" t="s">
        <v>184</v>
      </c>
      <c r="C115" s="3" t="s">
        <v>105</v>
      </c>
    </row>
    <row r="116" spans="1:3" ht="15" x14ac:dyDescent="0.25">
      <c r="A116" s="3" t="s">
        <v>186</v>
      </c>
      <c r="B116" s="3" t="s">
        <v>184</v>
      </c>
      <c r="C116" s="3" t="s">
        <v>105</v>
      </c>
    </row>
    <row r="117" spans="1:3" ht="15" x14ac:dyDescent="0.25">
      <c r="A117" s="3" t="s">
        <v>187</v>
      </c>
      <c r="B117" s="3" t="s">
        <v>184</v>
      </c>
      <c r="C117" s="3" t="s">
        <v>105</v>
      </c>
    </row>
    <row r="118" spans="1:3" ht="15" x14ac:dyDescent="0.25">
      <c r="A118" s="3" t="s">
        <v>188</v>
      </c>
      <c r="B118" s="3" t="s">
        <v>184</v>
      </c>
      <c r="C118" s="3" t="s">
        <v>105</v>
      </c>
    </row>
    <row r="119" spans="1:3" ht="15" x14ac:dyDescent="0.25">
      <c r="A119" s="3" t="s">
        <v>189</v>
      </c>
      <c r="B119" s="3" t="s">
        <v>184</v>
      </c>
      <c r="C119" s="3" t="s">
        <v>105</v>
      </c>
    </row>
    <row r="120" spans="1:3" ht="15" x14ac:dyDescent="0.25">
      <c r="A120" s="3" t="s">
        <v>190</v>
      </c>
      <c r="B120" s="3" t="s">
        <v>184</v>
      </c>
      <c r="C120" s="3" t="s">
        <v>105</v>
      </c>
    </row>
    <row r="121" spans="1:3" ht="15" x14ac:dyDescent="0.25">
      <c r="A121" s="3" t="s">
        <v>133</v>
      </c>
      <c r="B121" s="3" t="s">
        <v>184</v>
      </c>
      <c r="C121" s="3" t="s">
        <v>105</v>
      </c>
    </row>
    <row r="122" spans="1:3" ht="15" x14ac:dyDescent="0.25">
      <c r="A122" s="3" t="s">
        <v>20</v>
      </c>
      <c r="B122" s="3" t="s">
        <v>184</v>
      </c>
      <c r="C122" s="3" t="s">
        <v>105</v>
      </c>
    </row>
    <row r="123" spans="1:3" ht="15" x14ac:dyDescent="0.25">
      <c r="A123" s="3" t="s">
        <v>191</v>
      </c>
      <c r="B123" s="3" t="s">
        <v>184</v>
      </c>
      <c r="C123" s="3" t="s">
        <v>105</v>
      </c>
    </row>
    <row r="124" spans="1:3" ht="15" x14ac:dyDescent="0.25">
      <c r="A124" s="3" t="s">
        <v>193</v>
      </c>
      <c r="B124" s="3" t="s">
        <v>184</v>
      </c>
      <c r="C124" s="3" t="s">
        <v>105</v>
      </c>
    </row>
    <row r="125" spans="1:3" ht="15" x14ac:dyDescent="0.25">
      <c r="A125" s="3" t="s">
        <v>194</v>
      </c>
      <c r="B125" s="3" t="s">
        <v>184</v>
      </c>
      <c r="C125" s="3" t="s">
        <v>105</v>
      </c>
    </row>
    <row r="126" spans="1:3" ht="15" x14ac:dyDescent="0.25">
      <c r="A126" s="3" t="s">
        <v>195</v>
      </c>
      <c r="B126" s="3" t="s">
        <v>184</v>
      </c>
      <c r="C126" s="3" t="s">
        <v>105</v>
      </c>
    </row>
    <row r="127" spans="1:3" ht="15" x14ac:dyDescent="0.25">
      <c r="A127" s="3" t="s">
        <v>146</v>
      </c>
      <c r="B127" s="3" t="s">
        <v>184</v>
      </c>
      <c r="C127" s="3" t="s">
        <v>105</v>
      </c>
    </row>
    <row r="128" spans="1:3" ht="15" x14ac:dyDescent="0.25">
      <c r="A128" s="3" t="s">
        <v>196</v>
      </c>
      <c r="B128" s="3" t="s">
        <v>184</v>
      </c>
      <c r="C128" s="3" t="s">
        <v>105</v>
      </c>
    </row>
    <row r="129" spans="1:3" ht="15" x14ac:dyDescent="0.25">
      <c r="A129" s="3" t="s">
        <v>197</v>
      </c>
      <c r="B129" s="3" t="s">
        <v>184</v>
      </c>
      <c r="C129" s="3" t="s">
        <v>105</v>
      </c>
    </row>
    <row r="130" spans="1:3" ht="15" x14ac:dyDescent="0.25">
      <c r="A130" s="3" t="s">
        <v>198</v>
      </c>
      <c r="B130" s="3" t="s">
        <v>184</v>
      </c>
      <c r="C130" s="3" t="s">
        <v>105</v>
      </c>
    </row>
    <row r="131" spans="1:3" ht="15" x14ac:dyDescent="0.25">
      <c r="A131" s="3" t="s">
        <v>199</v>
      </c>
      <c r="B131" s="3" t="s">
        <v>184</v>
      </c>
      <c r="C131" s="3" t="s">
        <v>105</v>
      </c>
    </row>
    <row r="132" spans="1:3" ht="15" x14ac:dyDescent="0.25">
      <c r="A132" s="3" t="s">
        <v>175</v>
      </c>
      <c r="B132" s="3" t="s">
        <v>184</v>
      </c>
      <c r="C132" s="3" t="s">
        <v>105</v>
      </c>
    </row>
    <row r="133" spans="1:3" ht="15" x14ac:dyDescent="0.25">
      <c r="A133" s="3" t="s">
        <v>200</v>
      </c>
      <c r="B133" s="3" t="s">
        <v>184</v>
      </c>
      <c r="C133" s="3" t="s">
        <v>105</v>
      </c>
    </row>
    <row r="134" spans="1:3" ht="15" x14ac:dyDescent="0.25">
      <c r="A134" s="3" t="s">
        <v>149</v>
      </c>
      <c r="B134" s="3" t="s">
        <v>184</v>
      </c>
      <c r="C134" s="3" t="s">
        <v>105</v>
      </c>
    </row>
    <row r="135" spans="1:3" ht="15" x14ac:dyDescent="0.25">
      <c r="A135" s="3" t="s">
        <v>150</v>
      </c>
      <c r="B135" s="3" t="s">
        <v>184</v>
      </c>
      <c r="C135" s="3" t="s">
        <v>105</v>
      </c>
    </row>
    <row r="136" spans="1:3" ht="15" x14ac:dyDescent="0.25">
      <c r="A136" s="3" t="s">
        <v>55</v>
      </c>
      <c r="B136" s="3" t="s">
        <v>184</v>
      </c>
      <c r="C136" s="3" t="s">
        <v>105</v>
      </c>
    </row>
    <row r="137" spans="1:3" ht="15" x14ac:dyDescent="0.25">
      <c r="A137" s="3" t="s">
        <v>112</v>
      </c>
      <c r="B137" s="3" t="s">
        <v>184</v>
      </c>
      <c r="C137" s="3" t="s">
        <v>105</v>
      </c>
    </row>
    <row r="138" spans="1:3" ht="15" x14ac:dyDescent="0.25">
      <c r="A138" s="3" t="s">
        <v>201</v>
      </c>
      <c r="B138" s="3" t="s">
        <v>184</v>
      </c>
      <c r="C138" s="3" t="s">
        <v>105</v>
      </c>
    </row>
    <row r="139" spans="1:3" ht="15" x14ac:dyDescent="0.25">
      <c r="A139" s="3" t="s">
        <v>89</v>
      </c>
      <c r="B139" s="3" t="s">
        <v>184</v>
      </c>
      <c r="C139" s="3" t="s">
        <v>105</v>
      </c>
    </row>
    <row r="140" spans="1:3" ht="15" x14ac:dyDescent="0.25">
      <c r="A140" s="3" t="s">
        <v>117</v>
      </c>
      <c r="B140" s="3" t="s">
        <v>184</v>
      </c>
      <c r="C140" s="3" t="s">
        <v>105</v>
      </c>
    </row>
    <row r="141" spans="1:3" ht="15" x14ac:dyDescent="0.25">
      <c r="A141" s="3" t="s">
        <v>202</v>
      </c>
      <c r="B141" s="3" t="s">
        <v>184</v>
      </c>
      <c r="C141" s="3" t="s">
        <v>105</v>
      </c>
    </row>
    <row r="142" spans="1:3" ht="15" x14ac:dyDescent="0.25">
      <c r="A142" s="3" t="s">
        <v>203</v>
      </c>
      <c r="B142" s="3" t="s">
        <v>184</v>
      </c>
      <c r="C142" s="3" t="s">
        <v>105</v>
      </c>
    </row>
    <row r="143" spans="1:3" ht="15" x14ac:dyDescent="0.25">
      <c r="A143" s="3" t="s">
        <v>204</v>
      </c>
      <c r="B143" s="3" t="s">
        <v>184</v>
      </c>
      <c r="C143" s="3" t="s">
        <v>105</v>
      </c>
    </row>
    <row r="144" spans="1:3" ht="15" x14ac:dyDescent="0.25">
      <c r="A144" s="3" t="s">
        <v>205</v>
      </c>
      <c r="B144" s="3" t="s">
        <v>206</v>
      </c>
      <c r="C144" s="3" t="s">
        <v>105</v>
      </c>
    </row>
    <row r="145" spans="1:3" ht="15" x14ac:dyDescent="0.25">
      <c r="A145" s="3" t="s">
        <v>207</v>
      </c>
      <c r="B145" s="3" t="s">
        <v>206</v>
      </c>
      <c r="C145" s="3" t="s">
        <v>105</v>
      </c>
    </row>
    <row r="146" spans="1:3" ht="15" x14ac:dyDescent="0.25">
      <c r="A146" s="3" t="s">
        <v>209</v>
      </c>
      <c r="B146" s="3" t="s">
        <v>206</v>
      </c>
      <c r="C146" s="3" t="s">
        <v>105</v>
      </c>
    </row>
    <row r="147" spans="1:3" ht="15" x14ac:dyDescent="0.25">
      <c r="A147" s="3" t="s">
        <v>210</v>
      </c>
      <c r="B147" s="3" t="s">
        <v>206</v>
      </c>
      <c r="C147" s="3" t="s">
        <v>105</v>
      </c>
    </row>
    <row r="148" spans="1:3" ht="15" x14ac:dyDescent="0.25">
      <c r="A148" s="3" t="s">
        <v>211</v>
      </c>
      <c r="B148" s="3" t="s">
        <v>206</v>
      </c>
      <c r="C148" s="3" t="s">
        <v>105</v>
      </c>
    </row>
    <row r="149" spans="1:3" ht="15" x14ac:dyDescent="0.25">
      <c r="A149" s="3" t="s">
        <v>212</v>
      </c>
      <c r="B149" s="3" t="s">
        <v>206</v>
      </c>
      <c r="C149" s="3" t="s">
        <v>105</v>
      </c>
    </row>
    <row r="150" spans="1:3" ht="15" x14ac:dyDescent="0.25">
      <c r="A150" s="3" t="s">
        <v>16</v>
      </c>
      <c r="B150" s="3" t="s">
        <v>206</v>
      </c>
      <c r="C150" s="3" t="s">
        <v>105</v>
      </c>
    </row>
    <row r="151" spans="1:3" ht="15" x14ac:dyDescent="0.25">
      <c r="A151" s="3" t="s">
        <v>214</v>
      </c>
      <c r="B151" s="3" t="s">
        <v>206</v>
      </c>
      <c r="C151" s="3" t="s">
        <v>105</v>
      </c>
    </row>
    <row r="152" spans="1:3" ht="15" x14ac:dyDescent="0.25">
      <c r="A152" s="3" t="s">
        <v>25</v>
      </c>
      <c r="B152" s="3" t="s">
        <v>206</v>
      </c>
      <c r="C152" s="3" t="s">
        <v>105</v>
      </c>
    </row>
    <row r="153" spans="1:3" ht="15" x14ac:dyDescent="0.25">
      <c r="A153" s="3" t="s">
        <v>216</v>
      </c>
      <c r="B153" s="3" t="s">
        <v>206</v>
      </c>
      <c r="C153" s="3" t="s">
        <v>105</v>
      </c>
    </row>
    <row r="154" spans="1:3" ht="15" x14ac:dyDescent="0.25">
      <c r="A154" s="3" t="s">
        <v>139</v>
      </c>
      <c r="B154" s="3" t="s">
        <v>206</v>
      </c>
      <c r="C154" s="3" t="s">
        <v>105</v>
      </c>
    </row>
    <row r="155" spans="1:3" ht="15" x14ac:dyDescent="0.25">
      <c r="A155" s="3" t="s">
        <v>217</v>
      </c>
      <c r="B155" s="3" t="s">
        <v>206</v>
      </c>
      <c r="C155" s="3" t="s">
        <v>105</v>
      </c>
    </row>
    <row r="156" spans="1:3" ht="15" x14ac:dyDescent="0.25">
      <c r="A156" s="3" t="s">
        <v>43</v>
      </c>
      <c r="B156" s="3" t="s">
        <v>206</v>
      </c>
      <c r="C156" s="3" t="s">
        <v>105</v>
      </c>
    </row>
    <row r="157" spans="1:3" ht="15" x14ac:dyDescent="0.25">
      <c r="A157" s="3" t="s">
        <v>49</v>
      </c>
      <c r="B157" s="3" t="s">
        <v>206</v>
      </c>
      <c r="C157" s="3" t="s">
        <v>105</v>
      </c>
    </row>
    <row r="158" spans="1:3" ht="15" x14ac:dyDescent="0.25">
      <c r="A158" s="3" t="s">
        <v>220</v>
      </c>
      <c r="B158" s="3" t="s">
        <v>206</v>
      </c>
      <c r="C158" s="3" t="s">
        <v>105</v>
      </c>
    </row>
    <row r="159" spans="1:3" ht="15" x14ac:dyDescent="0.25">
      <c r="A159" s="3" t="s">
        <v>221</v>
      </c>
      <c r="B159" s="3" t="s">
        <v>206</v>
      </c>
      <c r="C159" s="3" t="s">
        <v>105</v>
      </c>
    </row>
    <row r="160" spans="1:3" ht="15" x14ac:dyDescent="0.25">
      <c r="A160" s="3" t="s">
        <v>222</v>
      </c>
      <c r="B160" s="3" t="s">
        <v>206</v>
      </c>
      <c r="C160" s="3" t="s">
        <v>105</v>
      </c>
    </row>
    <row r="161" spans="1:3" ht="15" x14ac:dyDescent="0.25">
      <c r="A161" s="3" t="s">
        <v>223</v>
      </c>
      <c r="B161" s="3" t="s">
        <v>206</v>
      </c>
      <c r="C161" s="3" t="s">
        <v>105</v>
      </c>
    </row>
    <row r="162" spans="1:3" ht="15" x14ac:dyDescent="0.25">
      <c r="A162" s="3" t="s">
        <v>154</v>
      </c>
      <c r="B162" s="3" t="s">
        <v>206</v>
      </c>
      <c r="C162" s="3" t="s">
        <v>105</v>
      </c>
    </row>
    <row r="163" spans="1:3" ht="15" x14ac:dyDescent="0.25">
      <c r="A163" s="3" t="s">
        <v>224</v>
      </c>
      <c r="B163" s="3" t="s">
        <v>206</v>
      </c>
      <c r="C163" s="3" t="s">
        <v>105</v>
      </c>
    </row>
    <row r="164" spans="1:3" ht="15" x14ac:dyDescent="0.25">
      <c r="A164" s="3" t="s">
        <v>67</v>
      </c>
      <c r="B164" s="3" t="s">
        <v>206</v>
      </c>
      <c r="C164" s="3" t="s">
        <v>105</v>
      </c>
    </row>
    <row r="165" spans="1:3" ht="15" x14ac:dyDescent="0.25">
      <c r="A165" s="3" t="s">
        <v>225</v>
      </c>
      <c r="B165" s="3" t="s">
        <v>206</v>
      </c>
      <c r="C165" s="3" t="s">
        <v>105</v>
      </c>
    </row>
    <row r="166" spans="1:3" ht="15" x14ac:dyDescent="0.25">
      <c r="A166" s="3" t="s">
        <v>226</v>
      </c>
      <c r="B166" s="3" t="s">
        <v>206</v>
      </c>
      <c r="C166" s="3" t="s">
        <v>105</v>
      </c>
    </row>
    <row r="167" spans="1:3" ht="15" x14ac:dyDescent="0.25">
      <c r="A167" s="3" t="s">
        <v>92</v>
      </c>
      <c r="B167" s="3" t="s">
        <v>206</v>
      </c>
      <c r="C167" s="3" t="s">
        <v>105</v>
      </c>
    </row>
    <row r="168" spans="1:3" ht="15" x14ac:dyDescent="0.25">
      <c r="A168" s="3" t="s">
        <v>118</v>
      </c>
      <c r="B168" s="3" t="s">
        <v>206</v>
      </c>
      <c r="C168" s="3" t="s">
        <v>105</v>
      </c>
    </row>
    <row r="169" spans="1:3" ht="15" x14ac:dyDescent="0.25">
      <c r="A169" s="3" t="s">
        <v>227</v>
      </c>
      <c r="B169" s="3" t="s">
        <v>206</v>
      </c>
      <c r="C169" s="3" t="s">
        <v>105</v>
      </c>
    </row>
    <row r="170" spans="1:3" ht="15" x14ac:dyDescent="0.25">
      <c r="A170" s="3" t="s">
        <v>228</v>
      </c>
      <c r="B170" s="3" t="s">
        <v>206</v>
      </c>
      <c r="C170" s="3" t="s">
        <v>105</v>
      </c>
    </row>
    <row r="171" spans="1:3" ht="15" x14ac:dyDescent="0.25">
      <c r="A171" s="3" t="s">
        <v>230</v>
      </c>
      <c r="B171" s="3" t="s">
        <v>206</v>
      </c>
      <c r="C171" s="3" t="s">
        <v>105</v>
      </c>
    </row>
    <row r="172" spans="1:3" ht="15" x14ac:dyDescent="0.25">
      <c r="A172" s="3" t="s">
        <v>231</v>
      </c>
      <c r="B172" s="3" t="s">
        <v>206</v>
      </c>
      <c r="C172" s="3" t="s">
        <v>105</v>
      </c>
    </row>
    <row r="173" spans="1:3" ht="15" x14ac:dyDescent="0.25">
      <c r="A173" s="3" t="s">
        <v>233</v>
      </c>
      <c r="B173" s="3" t="s">
        <v>234</v>
      </c>
      <c r="C173" s="3" t="s">
        <v>235</v>
      </c>
    </row>
    <row r="174" spans="1:3" ht="15" x14ac:dyDescent="0.25">
      <c r="A174" s="3" t="s">
        <v>207</v>
      </c>
      <c r="B174" s="3" t="s">
        <v>234</v>
      </c>
      <c r="C174" s="3" t="s">
        <v>235</v>
      </c>
    </row>
    <row r="175" spans="1:3" ht="15" x14ac:dyDescent="0.25">
      <c r="A175" s="3" t="s">
        <v>236</v>
      </c>
      <c r="B175" s="3" t="s">
        <v>234</v>
      </c>
      <c r="C175" s="3" t="s">
        <v>235</v>
      </c>
    </row>
    <row r="176" spans="1:3" ht="15" x14ac:dyDescent="0.25">
      <c r="A176" s="3" t="s">
        <v>10</v>
      </c>
      <c r="B176" s="3" t="s">
        <v>234</v>
      </c>
      <c r="C176" s="3" t="s">
        <v>235</v>
      </c>
    </row>
    <row r="177" spans="1:3" ht="15" x14ac:dyDescent="0.25">
      <c r="A177" s="3" t="s">
        <v>237</v>
      </c>
      <c r="B177" s="3" t="s">
        <v>234</v>
      </c>
      <c r="C177" s="3" t="s">
        <v>235</v>
      </c>
    </row>
    <row r="178" spans="1:3" ht="15" x14ac:dyDescent="0.25">
      <c r="A178" s="3" t="s">
        <v>186</v>
      </c>
      <c r="B178" s="3" t="s">
        <v>234</v>
      </c>
      <c r="C178" s="3" t="s">
        <v>235</v>
      </c>
    </row>
    <row r="179" spans="1:3" ht="15" x14ac:dyDescent="0.25">
      <c r="A179" s="3" t="s">
        <v>187</v>
      </c>
      <c r="B179" s="3" t="s">
        <v>234</v>
      </c>
      <c r="C179" s="3" t="s">
        <v>235</v>
      </c>
    </row>
    <row r="180" spans="1:3" ht="15" x14ac:dyDescent="0.25">
      <c r="A180" s="3" t="s">
        <v>127</v>
      </c>
      <c r="B180" s="3" t="s">
        <v>234</v>
      </c>
      <c r="C180" s="3" t="s">
        <v>235</v>
      </c>
    </row>
    <row r="181" spans="1:3" ht="15" x14ac:dyDescent="0.25">
      <c r="A181" s="3" t="s">
        <v>210</v>
      </c>
      <c r="B181" s="3" t="s">
        <v>234</v>
      </c>
      <c r="C181" s="3" t="s">
        <v>235</v>
      </c>
    </row>
    <row r="182" spans="1:3" ht="15" x14ac:dyDescent="0.25">
      <c r="A182" s="3" t="s">
        <v>238</v>
      </c>
      <c r="B182" s="3" t="s">
        <v>234</v>
      </c>
      <c r="C182" s="3" t="s">
        <v>235</v>
      </c>
    </row>
    <row r="183" spans="1:3" ht="15" x14ac:dyDescent="0.25">
      <c r="A183" s="3" t="s">
        <v>239</v>
      </c>
      <c r="B183" s="3" t="s">
        <v>234</v>
      </c>
      <c r="C183" s="3" t="s">
        <v>235</v>
      </c>
    </row>
    <row r="184" spans="1:3" ht="15" x14ac:dyDescent="0.25">
      <c r="A184" s="3" t="s">
        <v>20</v>
      </c>
      <c r="B184" s="3" t="s">
        <v>234</v>
      </c>
      <c r="C184" s="3" t="s">
        <v>235</v>
      </c>
    </row>
    <row r="185" spans="1:3" ht="15" x14ac:dyDescent="0.25">
      <c r="A185" s="3" t="s">
        <v>241</v>
      </c>
      <c r="B185" s="3" t="s">
        <v>234</v>
      </c>
      <c r="C185" s="3" t="s">
        <v>235</v>
      </c>
    </row>
    <row r="186" spans="1:3" ht="15" x14ac:dyDescent="0.25">
      <c r="A186" s="3" t="s">
        <v>242</v>
      </c>
      <c r="B186" s="3" t="s">
        <v>234</v>
      </c>
      <c r="C186" s="3" t="s">
        <v>235</v>
      </c>
    </row>
    <row r="187" spans="1:3" ht="15" x14ac:dyDescent="0.25">
      <c r="A187" s="3" t="s">
        <v>243</v>
      </c>
      <c r="B187" s="3" t="s">
        <v>234</v>
      </c>
      <c r="C187" s="3" t="s">
        <v>235</v>
      </c>
    </row>
    <row r="188" spans="1:3" ht="15" x14ac:dyDescent="0.25">
      <c r="A188" s="3" t="s">
        <v>244</v>
      </c>
      <c r="B188" s="3" t="s">
        <v>234</v>
      </c>
      <c r="C188" s="3" t="s">
        <v>235</v>
      </c>
    </row>
    <row r="189" spans="1:3" ht="15" x14ac:dyDescent="0.25">
      <c r="A189" s="3" t="s">
        <v>139</v>
      </c>
      <c r="B189" s="3" t="s">
        <v>234</v>
      </c>
      <c r="C189" s="3" t="s">
        <v>235</v>
      </c>
    </row>
    <row r="190" spans="1:3" ht="15" x14ac:dyDescent="0.25">
      <c r="A190" s="3" t="s">
        <v>246</v>
      </c>
      <c r="B190" s="3" t="s">
        <v>234</v>
      </c>
      <c r="C190" s="3" t="s">
        <v>235</v>
      </c>
    </row>
    <row r="191" spans="1:3" ht="15" x14ac:dyDescent="0.25">
      <c r="A191" s="3" t="s">
        <v>247</v>
      </c>
      <c r="B191" s="3" t="s">
        <v>234</v>
      </c>
      <c r="C191" s="3" t="s">
        <v>235</v>
      </c>
    </row>
    <row r="192" spans="1:3" ht="15" x14ac:dyDescent="0.25">
      <c r="A192" s="3" t="s">
        <v>249</v>
      </c>
      <c r="B192" s="3" t="s">
        <v>234</v>
      </c>
      <c r="C192" s="3" t="s">
        <v>235</v>
      </c>
    </row>
    <row r="193" spans="1:3" ht="15" x14ac:dyDescent="0.25">
      <c r="A193" s="3" t="s">
        <v>250</v>
      </c>
      <c r="B193" s="3" t="s">
        <v>234</v>
      </c>
      <c r="C193" s="3" t="s">
        <v>235</v>
      </c>
    </row>
    <row r="194" spans="1:3" ht="15" x14ac:dyDescent="0.25">
      <c r="A194" s="3" t="s">
        <v>251</v>
      </c>
      <c r="B194" s="3" t="s">
        <v>234</v>
      </c>
      <c r="C194" s="3" t="s">
        <v>235</v>
      </c>
    </row>
    <row r="195" spans="1:3" ht="15" x14ac:dyDescent="0.25">
      <c r="A195" s="3" t="s">
        <v>253</v>
      </c>
      <c r="B195" s="3" t="s">
        <v>234</v>
      </c>
      <c r="C195" s="3" t="s">
        <v>235</v>
      </c>
    </row>
    <row r="196" spans="1:3" ht="15" x14ac:dyDescent="0.25">
      <c r="A196" s="3" t="s">
        <v>254</v>
      </c>
      <c r="B196" s="3" t="s">
        <v>234</v>
      </c>
      <c r="C196" s="3" t="s">
        <v>235</v>
      </c>
    </row>
    <row r="197" spans="1:3" ht="15" x14ac:dyDescent="0.25">
      <c r="A197" s="3" t="s">
        <v>255</v>
      </c>
      <c r="B197" s="3" t="s">
        <v>234</v>
      </c>
      <c r="C197" s="3" t="s">
        <v>235</v>
      </c>
    </row>
    <row r="198" spans="1:3" ht="15" x14ac:dyDescent="0.25">
      <c r="A198" s="3" t="s">
        <v>229</v>
      </c>
      <c r="B198" s="3" t="s">
        <v>234</v>
      </c>
      <c r="C198" s="3" t="s">
        <v>235</v>
      </c>
    </row>
    <row r="199" spans="1:3" ht="15" x14ac:dyDescent="0.25">
      <c r="A199" s="3" t="s">
        <v>256</v>
      </c>
      <c r="B199" s="3" t="s">
        <v>234</v>
      </c>
      <c r="C199" s="3" t="s">
        <v>235</v>
      </c>
    </row>
    <row r="200" spans="1:3" ht="15" x14ac:dyDescent="0.25">
      <c r="A200" s="3" t="s">
        <v>41</v>
      </c>
      <c r="B200" s="3" t="s">
        <v>234</v>
      </c>
      <c r="C200" s="3" t="s">
        <v>235</v>
      </c>
    </row>
    <row r="201" spans="1:3" ht="15" x14ac:dyDescent="0.25">
      <c r="A201" s="3" t="s">
        <v>43</v>
      </c>
      <c r="B201" s="3" t="s">
        <v>234</v>
      </c>
      <c r="C201" s="3" t="s">
        <v>235</v>
      </c>
    </row>
    <row r="202" spans="1:3" ht="15" x14ac:dyDescent="0.25">
      <c r="A202" s="3" t="s">
        <v>198</v>
      </c>
      <c r="B202" s="3" t="s">
        <v>234</v>
      </c>
      <c r="C202" s="3" t="s">
        <v>235</v>
      </c>
    </row>
    <row r="203" spans="1:3" ht="15" x14ac:dyDescent="0.25">
      <c r="A203" s="3" t="s">
        <v>221</v>
      </c>
      <c r="B203" s="3" t="s">
        <v>234</v>
      </c>
      <c r="C203" s="3" t="s">
        <v>235</v>
      </c>
    </row>
    <row r="204" spans="1:3" ht="15" x14ac:dyDescent="0.25">
      <c r="A204" s="3" t="s">
        <v>200</v>
      </c>
      <c r="B204" s="3" t="s">
        <v>234</v>
      </c>
      <c r="C204" s="3" t="s">
        <v>235</v>
      </c>
    </row>
    <row r="205" spans="1:3" ht="15" x14ac:dyDescent="0.25">
      <c r="A205" s="3" t="s">
        <v>259</v>
      </c>
      <c r="B205" s="3" t="s">
        <v>234</v>
      </c>
      <c r="C205" s="3" t="s">
        <v>235</v>
      </c>
    </row>
    <row r="206" spans="1:3" ht="15" x14ac:dyDescent="0.25">
      <c r="A206" s="3" t="s">
        <v>260</v>
      </c>
      <c r="B206" s="3" t="s">
        <v>234</v>
      </c>
      <c r="C206" s="3" t="s">
        <v>235</v>
      </c>
    </row>
    <row r="207" spans="1:3" ht="15" x14ac:dyDescent="0.25">
      <c r="A207" s="3" t="s">
        <v>215</v>
      </c>
      <c r="B207" s="3" t="s">
        <v>234</v>
      </c>
      <c r="C207" s="3" t="s">
        <v>235</v>
      </c>
    </row>
    <row r="208" spans="1:3" ht="15" x14ac:dyDescent="0.25">
      <c r="A208" s="3" t="s">
        <v>261</v>
      </c>
      <c r="B208" s="3" t="s">
        <v>234</v>
      </c>
      <c r="C208" s="3" t="s">
        <v>235</v>
      </c>
    </row>
    <row r="209" spans="1:3" ht="15" x14ac:dyDescent="0.25">
      <c r="A209" s="3" t="s">
        <v>262</v>
      </c>
      <c r="B209" s="3" t="s">
        <v>234</v>
      </c>
      <c r="C209" s="3" t="s">
        <v>235</v>
      </c>
    </row>
    <row r="210" spans="1:3" ht="15" x14ac:dyDescent="0.25">
      <c r="A210" s="3" t="s">
        <v>263</v>
      </c>
      <c r="B210" s="3" t="s">
        <v>234</v>
      </c>
      <c r="C210" s="3" t="s">
        <v>235</v>
      </c>
    </row>
    <row r="211" spans="1:3" ht="15" x14ac:dyDescent="0.25">
      <c r="A211" s="3" t="s">
        <v>264</v>
      </c>
      <c r="B211" s="3" t="s">
        <v>234</v>
      </c>
      <c r="C211" s="3" t="s">
        <v>235</v>
      </c>
    </row>
    <row r="212" spans="1:3" ht="15" x14ac:dyDescent="0.25">
      <c r="A212" s="3" t="s">
        <v>67</v>
      </c>
      <c r="B212" s="3" t="s">
        <v>234</v>
      </c>
      <c r="C212" s="3" t="s">
        <v>235</v>
      </c>
    </row>
    <row r="213" spans="1:3" ht="15" x14ac:dyDescent="0.25">
      <c r="A213" s="3" t="s">
        <v>201</v>
      </c>
      <c r="B213" s="3" t="s">
        <v>234</v>
      </c>
      <c r="C213" s="3" t="s">
        <v>235</v>
      </c>
    </row>
    <row r="214" spans="1:3" ht="15" x14ac:dyDescent="0.25">
      <c r="A214" s="3" t="s">
        <v>265</v>
      </c>
      <c r="B214" s="3" t="s">
        <v>234</v>
      </c>
      <c r="C214" s="3" t="s">
        <v>235</v>
      </c>
    </row>
    <row r="215" spans="1:3" ht="15" x14ac:dyDescent="0.25">
      <c r="A215" s="3" t="s">
        <v>158</v>
      </c>
      <c r="B215" s="3" t="s">
        <v>234</v>
      </c>
      <c r="C215" s="3" t="s">
        <v>235</v>
      </c>
    </row>
    <row r="216" spans="1:3" ht="15" x14ac:dyDescent="0.25">
      <c r="A216" s="3" t="s">
        <v>266</v>
      </c>
      <c r="B216" s="3" t="s">
        <v>234</v>
      </c>
      <c r="C216" s="3" t="s">
        <v>235</v>
      </c>
    </row>
    <row r="217" spans="1:3" ht="15" x14ac:dyDescent="0.25">
      <c r="A217" s="3" t="s">
        <v>267</v>
      </c>
      <c r="B217" s="3" t="s">
        <v>234</v>
      </c>
      <c r="C217" s="3" t="s">
        <v>235</v>
      </c>
    </row>
    <row r="218" spans="1:3" ht="15" x14ac:dyDescent="0.25">
      <c r="A218" s="3" t="s">
        <v>268</v>
      </c>
      <c r="B218" s="3" t="s">
        <v>234</v>
      </c>
      <c r="C218" s="3" t="s">
        <v>235</v>
      </c>
    </row>
    <row r="219" spans="1:3" ht="15" x14ac:dyDescent="0.25">
      <c r="A219" s="3" t="s">
        <v>92</v>
      </c>
      <c r="B219" s="3" t="s">
        <v>234</v>
      </c>
      <c r="C219" s="3" t="s">
        <v>235</v>
      </c>
    </row>
    <row r="220" spans="1:3" ht="15" x14ac:dyDescent="0.25">
      <c r="A220" s="3" t="s">
        <v>117</v>
      </c>
      <c r="B220" s="3" t="s">
        <v>234</v>
      </c>
      <c r="C220" s="3" t="s">
        <v>235</v>
      </c>
    </row>
    <row r="221" spans="1:3" ht="15" x14ac:dyDescent="0.25">
      <c r="A221" s="3" t="s">
        <v>269</v>
      </c>
      <c r="B221" s="3" t="s">
        <v>234</v>
      </c>
      <c r="C221" s="3" t="s">
        <v>235</v>
      </c>
    </row>
    <row r="222" spans="1:3" ht="15" x14ac:dyDescent="0.25">
      <c r="A222" s="3" t="s">
        <v>161</v>
      </c>
      <c r="B222" s="3" t="s">
        <v>234</v>
      </c>
      <c r="C222" s="3" t="s">
        <v>235</v>
      </c>
    </row>
    <row r="223" spans="1:3" ht="15" x14ac:dyDescent="0.25">
      <c r="A223" s="3" t="s">
        <v>270</v>
      </c>
      <c r="B223" s="3" t="s">
        <v>234</v>
      </c>
      <c r="C223" s="3" t="s">
        <v>235</v>
      </c>
    </row>
    <row r="224" spans="1:3" ht="15" x14ac:dyDescent="0.25">
      <c r="A224" s="3" t="s">
        <v>272</v>
      </c>
      <c r="B224" s="3" t="s">
        <v>234</v>
      </c>
      <c r="C224" s="3" t="s">
        <v>235</v>
      </c>
    </row>
    <row r="225" spans="1:3" ht="15" x14ac:dyDescent="0.25">
      <c r="A225" s="3" t="s">
        <v>273</v>
      </c>
      <c r="B225" s="3" t="s">
        <v>234</v>
      </c>
      <c r="C225" s="3" t="s">
        <v>235</v>
      </c>
    </row>
    <row r="226" spans="1:3" ht="15" x14ac:dyDescent="0.25">
      <c r="A226" s="3" t="s">
        <v>100</v>
      </c>
      <c r="B226" s="3" t="s">
        <v>234</v>
      </c>
      <c r="C226" s="3" t="s">
        <v>235</v>
      </c>
    </row>
    <row r="227" spans="1:3" ht="15" x14ac:dyDescent="0.25">
      <c r="A227" s="3" t="s">
        <v>275</v>
      </c>
      <c r="B227" s="3" t="s">
        <v>234</v>
      </c>
      <c r="C227" s="3" t="s">
        <v>235</v>
      </c>
    </row>
    <row r="228" spans="1:3" ht="15" x14ac:dyDescent="0.25">
      <c r="A228" s="3" t="s">
        <v>276</v>
      </c>
      <c r="B228" s="3" t="s">
        <v>234</v>
      </c>
      <c r="C228" s="3" t="s">
        <v>235</v>
      </c>
    </row>
    <row r="229" spans="1:3" ht="15" x14ac:dyDescent="0.25">
      <c r="A229" s="3" t="s">
        <v>182</v>
      </c>
      <c r="B229" s="3" t="s">
        <v>234</v>
      </c>
      <c r="C229" s="3" t="s">
        <v>235</v>
      </c>
    </row>
    <row r="230" spans="1:3" ht="15" x14ac:dyDescent="0.25">
      <c r="A230" s="3" t="s">
        <v>122</v>
      </c>
      <c r="B230" s="3" t="s">
        <v>234</v>
      </c>
      <c r="C230" s="3" t="s">
        <v>235</v>
      </c>
    </row>
    <row r="231" spans="1:3" ht="15" x14ac:dyDescent="0.25">
      <c r="A231" s="3" t="s">
        <v>278</v>
      </c>
      <c r="B231" s="3" t="s">
        <v>234</v>
      </c>
      <c r="C231" s="3" t="s">
        <v>235</v>
      </c>
    </row>
    <row r="232" spans="1:3" ht="15" x14ac:dyDescent="0.25">
      <c r="A232" s="3" t="s">
        <v>233</v>
      </c>
      <c r="B232" s="3" t="s">
        <v>279</v>
      </c>
      <c r="C232" s="3" t="s">
        <v>280</v>
      </c>
    </row>
    <row r="233" spans="1:3" ht="15" x14ac:dyDescent="0.25">
      <c r="A233" s="3" t="s">
        <v>124</v>
      </c>
      <c r="B233" s="3" t="s">
        <v>279</v>
      </c>
      <c r="C233" s="3" t="s">
        <v>280</v>
      </c>
    </row>
    <row r="234" spans="1:3" ht="15" x14ac:dyDescent="0.25">
      <c r="A234" s="3" t="s">
        <v>281</v>
      </c>
      <c r="B234" s="3" t="s">
        <v>279</v>
      </c>
      <c r="C234" s="3" t="s">
        <v>280</v>
      </c>
    </row>
    <row r="235" spans="1:3" ht="15" x14ac:dyDescent="0.25">
      <c r="A235" s="3" t="s">
        <v>283</v>
      </c>
      <c r="B235" s="3" t="s">
        <v>279</v>
      </c>
      <c r="C235" s="3" t="s">
        <v>280</v>
      </c>
    </row>
    <row r="236" spans="1:3" ht="15" x14ac:dyDescent="0.25">
      <c r="A236" s="3" t="s">
        <v>11</v>
      </c>
      <c r="B236" s="3" t="s">
        <v>279</v>
      </c>
      <c r="C236" s="3" t="s">
        <v>280</v>
      </c>
    </row>
    <row r="237" spans="1:3" ht="15" x14ac:dyDescent="0.25">
      <c r="A237" s="3" t="s">
        <v>284</v>
      </c>
      <c r="B237" s="3" t="s">
        <v>279</v>
      </c>
      <c r="C237" s="3" t="s">
        <v>280</v>
      </c>
    </row>
    <row r="238" spans="1:3" ht="15" x14ac:dyDescent="0.25">
      <c r="A238" s="3" t="s">
        <v>285</v>
      </c>
      <c r="B238" s="3" t="s">
        <v>279</v>
      </c>
      <c r="C238" s="3" t="s">
        <v>280</v>
      </c>
    </row>
    <row r="239" spans="1:3" ht="15" x14ac:dyDescent="0.25">
      <c r="A239" s="3" t="s">
        <v>286</v>
      </c>
      <c r="B239" s="3" t="s">
        <v>279</v>
      </c>
      <c r="C239" s="3" t="s">
        <v>280</v>
      </c>
    </row>
    <row r="240" spans="1:3" ht="15" x14ac:dyDescent="0.25">
      <c r="A240" s="3" t="s">
        <v>210</v>
      </c>
      <c r="B240" s="3" t="s">
        <v>279</v>
      </c>
      <c r="C240" s="3" t="s">
        <v>280</v>
      </c>
    </row>
    <row r="241" spans="1:3" ht="15" x14ac:dyDescent="0.25">
      <c r="A241" s="3" t="s">
        <v>287</v>
      </c>
      <c r="B241" s="3" t="s">
        <v>279</v>
      </c>
      <c r="C241" s="3" t="s">
        <v>280</v>
      </c>
    </row>
    <row r="242" spans="1:3" ht="15" x14ac:dyDescent="0.25">
      <c r="A242" s="3" t="s">
        <v>288</v>
      </c>
      <c r="B242" s="3" t="s">
        <v>279</v>
      </c>
      <c r="C242" s="3" t="s">
        <v>280</v>
      </c>
    </row>
    <row r="243" spans="1:3" ht="15" x14ac:dyDescent="0.25">
      <c r="A243" s="3" t="s">
        <v>289</v>
      </c>
      <c r="B243" s="3" t="s">
        <v>279</v>
      </c>
      <c r="C243" s="3" t="s">
        <v>280</v>
      </c>
    </row>
    <row r="244" spans="1:3" ht="15" x14ac:dyDescent="0.25">
      <c r="A244" s="3" t="s">
        <v>291</v>
      </c>
      <c r="B244" s="3" t="s">
        <v>279</v>
      </c>
      <c r="C244" s="3" t="s">
        <v>280</v>
      </c>
    </row>
    <row r="245" spans="1:3" ht="15" x14ac:dyDescent="0.25">
      <c r="A245" s="3" t="s">
        <v>292</v>
      </c>
      <c r="B245" s="3" t="s">
        <v>279</v>
      </c>
      <c r="C245" s="3" t="s">
        <v>280</v>
      </c>
    </row>
    <row r="246" spans="1:3" ht="15" x14ac:dyDescent="0.25">
      <c r="A246" s="3" t="s">
        <v>293</v>
      </c>
      <c r="B246" s="3" t="s">
        <v>279</v>
      </c>
      <c r="C246" s="3" t="s">
        <v>280</v>
      </c>
    </row>
    <row r="247" spans="1:3" ht="15" x14ac:dyDescent="0.25">
      <c r="A247" s="3" t="s">
        <v>294</v>
      </c>
      <c r="B247" s="3" t="s">
        <v>279</v>
      </c>
      <c r="C247" s="3" t="s">
        <v>280</v>
      </c>
    </row>
    <row r="248" spans="1:3" ht="15" x14ac:dyDescent="0.25">
      <c r="A248" s="3" t="s">
        <v>295</v>
      </c>
      <c r="B248" s="3" t="s">
        <v>279</v>
      </c>
      <c r="C248" s="3" t="s">
        <v>280</v>
      </c>
    </row>
    <row r="249" spans="1:3" ht="15" x14ac:dyDescent="0.25">
      <c r="A249" s="3" t="s">
        <v>296</v>
      </c>
      <c r="B249" s="3" t="s">
        <v>279</v>
      </c>
      <c r="C249" s="3" t="s">
        <v>280</v>
      </c>
    </row>
    <row r="250" spans="1:3" ht="15" x14ac:dyDescent="0.25">
      <c r="A250" s="3" t="s">
        <v>138</v>
      </c>
      <c r="B250" s="3" t="s">
        <v>279</v>
      </c>
      <c r="C250" s="3" t="s">
        <v>280</v>
      </c>
    </row>
    <row r="251" spans="1:3" ht="15" x14ac:dyDescent="0.25">
      <c r="A251" s="3" t="s">
        <v>297</v>
      </c>
      <c r="B251" s="3" t="s">
        <v>279</v>
      </c>
      <c r="C251" s="3" t="s">
        <v>280</v>
      </c>
    </row>
    <row r="252" spans="1:3" ht="15" x14ac:dyDescent="0.25">
      <c r="A252" s="3" t="s">
        <v>25</v>
      </c>
      <c r="B252" s="3" t="s">
        <v>279</v>
      </c>
      <c r="C252" s="3" t="s">
        <v>280</v>
      </c>
    </row>
    <row r="253" spans="1:3" ht="15" x14ac:dyDescent="0.25">
      <c r="A253" s="3" t="s">
        <v>242</v>
      </c>
      <c r="B253" s="3" t="s">
        <v>279</v>
      </c>
      <c r="C253" s="3" t="s">
        <v>280</v>
      </c>
    </row>
    <row r="254" spans="1:3" ht="15" x14ac:dyDescent="0.25">
      <c r="A254" s="3" t="s">
        <v>298</v>
      </c>
      <c r="B254" s="3" t="s">
        <v>279</v>
      </c>
      <c r="C254" s="3" t="s">
        <v>280</v>
      </c>
    </row>
    <row r="255" spans="1:3" ht="15" x14ac:dyDescent="0.25">
      <c r="A255" s="3" t="s">
        <v>243</v>
      </c>
      <c r="B255" s="3" t="s">
        <v>279</v>
      </c>
      <c r="C255" s="3" t="s">
        <v>280</v>
      </c>
    </row>
    <row r="256" spans="1:3" ht="15" x14ac:dyDescent="0.25">
      <c r="A256" s="3" t="s">
        <v>299</v>
      </c>
      <c r="B256" s="3" t="s">
        <v>279</v>
      </c>
      <c r="C256" s="3" t="s">
        <v>280</v>
      </c>
    </row>
    <row r="257" spans="1:3" ht="15" x14ac:dyDescent="0.25">
      <c r="A257" s="3" t="s">
        <v>249</v>
      </c>
      <c r="B257" s="3" t="s">
        <v>279</v>
      </c>
      <c r="C257" s="3" t="s">
        <v>280</v>
      </c>
    </row>
    <row r="258" spans="1:3" ht="15" x14ac:dyDescent="0.25">
      <c r="A258" s="3" t="s">
        <v>113</v>
      </c>
      <c r="B258" s="3" t="s">
        <v>279</v>
      </c>
      <c r="C258" s="3" t="s">
        <v>280</v>
      </c>
    </row>
    <row r="259" spans="1:3" ht="15" x14ac:dyDescent="0.25">
      <c r="A259" s="3" t="s">
        <v>301</v>
      </c>
      <c r="B259" s="3" t="s">
        <v>279</v>
      </c>
      <c r="C259" s="3" t="s">
        <v>280</v>
      </c>
    </row>
    <row r="260" spans="1:3" ht="15" x14ac:dyDescent="0.25">
      <c r="A260" s="3" t="s">
        <v>302</v>
      </c>
      <c r="B260" s="3" t="s">
        <v>279</v>
      </c>
      <c r="C260" s="3" t="s">
        <v>280</v>
      </c>
    </row>
    <row r="261" spans="1:3" ht="15" x14ac:dyDescent="0.25">
      <c r="A261" s="3" t="s">
        <v>33</v>
      </c>
      <c r="B261" s="3" t="s">
        <v>279</v>
      </c>
      <c r="C261" s="3" t="s">
        <v>280</v>
      </c>
    </row>
    <row r="262" spans="1:3" ht="15" x14ac:dyDescent="0.25">
      <c r="A262" s="3" t="s">
        <v>250</v>
      </c>
      <c r="B262" s="3" t="s">
        <v>279</v>
      </c>
      <c r="C262" s="3" t="s">
        <v>280</v>
      </c>
    </row>
    <row r="263" spans="1:3" ht="15" x14ac:dyDescent="0.25">
      <c r="A263" s="3" t="s">
        <v>253</v>
      </c>
      <c r="B263" s="3" t="s">
        <v>279</v>
      </c>
      <c r="C263" s="3" t="s">
        <v>280</v>
      </c>
    </row>
    <row r="264" spans="1:3" ht="15" x14ac:dyDescent="0.25">
      <c r="A264" s="3" t="s">
        <v>194</v>
      </c>
      <c r="B264" s="3" t="s">
        <v>279</v>
      </c>
      <c r="C264" s="3" t="s">
        <v>280</v>
      </c>
    </row>
    <row r="265" spans="1:3" ht="15" x14ac:dyDescent="0.25">
      <c r="A265" s="3" t="s">
        <v>303</v>
      </c>
      <c r="B265" s="3" t="s">
        <v>279</v>
      </c>
      <c r="C265" s="3" t="s">
        <v>280</v>
      </c>
    </row>
    <row r="266" spans="1:3" ht="15" x14ac:dyDescent="0.25">
      <c r="A266" s="3" t="s">
        <v>304</v>
      </c>
      <c r="B266" s="3" t="s">
        <v>279</v>
      </c>
      <c r="C266" s="3" t="s">
        <v>280</v>
      </c>
    </row>
    <row r="267" spans="1:3" ht="15" x14ac:dyDescent="0.25">
      <c r="A267" s="3" t="s">
        <v>305</v>
      </c>
      <c r="B267" s="3" t="s">
        <v>279</v>
      </c>
      <c r="C267" s="3" t="s">
        <v>280</v>
      </c>
    </row>
    <row r="268" spans="1:3" ht="15" x14ac:dyDescent="0.25">
      <c r="A268" s="3" t="s">
        <v>128</v>
      </c>
      <c r="B268" s="3" t="s">
        <v>279</v>
      </c>
      <c r="C268" s="3" t="s">
        <v>280</v>
      </c>
    </row>
    <row r="269" spans="1:3" ht="15" x14ac:dyDescent="0.25">
      <c r="A269" s="3" t="s">
        <v>41</v>
      </c>
      <c r="B269" s="3" t="s">
        <v>279</v>
      </c>
      <c r="C269" s="3" t="s">
        <v>280</v>
      </c>
    </row>
    <row r="270" spans="1:3" ht="15" x14ac:dyDescent="0.25">
      <c r="A270" s="3" t="s">
        <v>43</v>
      </c>
      <c r="B270" s="3" t="s">
        <v>279</v>
      </c>
      <c r="C270" s="3" t="s">
        <v>280</v>
      </c>
    </row>
    <row r="271" spans="1:3" ht="15" x14ac:dyDescent="0.25">
      <c r="A271" s="3" t="s">
        <v>308</v>
      </c>
      <c r="B271" s="3" t="s">
        <v>279</v>
      </c>
      <c r="C271" s="3" t="s">
        <v>280</v>
      </c>
    </row>
    <row r="272" spans="1:3" ht="15" x14ac:dyDescent="0.25">
      <c r="A272" s="3" t="s">
        <v>310</v>
      </c>
      <c r="B272" s="3" t="s">
        <v>279</v>
      </c>
      <c r="C272" s="3" t="s">
        <v>280</v>
      </c>
    </row>
    <row r="273" spans="1:3" ht="15" x14ac:dyDescent="0.25">
      <c r="A273" s="3" t="s">
        <v>311</v>
      </c>
      <c r="B273" s="3" t="s">
        <v>279</v>
      </c>
      <c r="C273" s="3" t="s">
        <v>280</v>
      </c>
    </row>
    <row r="274" spans="1:3" ht="15" x14ac:dyDescent="0.25">
      <c r="A274" s="3" t="s">
        <v>199</v>
      </c>
      <c r="B274" s="3" t="s">
        <v>279</v>
      </c>
      <c r="C274" s="3" t="s">
        <v>280</v>
      </c>
    </row>
    <row r="275" spans="1:3" ht="15" x14ac:dyDescent="0.25">
      <c r="A275" s="3" t="s">
        <v>313</v>
      </c>
      <c r="B275" s="3" t="s">
        <v>279</v>
      </c>
      <c r="C275" s="3" t="s">
        <v>280</v>
      </c>
    </row>
    <row r="276" spans="1:3" ht="15" x14ac:dyDescent="0.25">
      <c r="A276" s="3" t="s">
        <v>314</v>
      </c>
      <c r="B276" s="3" t="s">
        <v>279</v>
      </c>
      <c r="C276" s="3" t="s">
        <v>280</v>
      </c>
    </row>
    <row r="277" spans="1:3" ht="15" x14ac:dyDescent="0.25">
      <c r="A277" s="3" t="s">
        <v>221</v>
      </c>
      <c r="B277" s="3" t="s">
        <v>279</v>
      </c>
      <c r="C277" s="3" t="s">
        <v>280</v>
      </c>
    </row>
    <row r="278" spans="1:3" ht="15" x14ac:dyDescent="0.25">
      <c r="A278" s="3" t="s">
        <v>200</v>
      </c>
      <c r="B278" s="3" t="s">
        <v>279</v>
      </c>
      <c r="C278" s="3" t="s">
        <v>280</v>
      </c>
    </row>
    <row r="279" spans="1:3" ht="15" x14ac:dyDescent="0.25">
      <c r="A279" s="3" t="s">
        <v>316</v>
      </c>
      <c r="B279" s="3" t="s">
        <v>279</v>
      </c>
      <c r="C279" s="3" t="s">
        <v>280</v>
      </c>
    </row>
    <row r="280" spans="1:3" ht="15" x14ac:dyDescent="0.25">
      <c r="A280" s="3" t="s">
        <v>317</v>
      </c>
      <c r="B280" s="3" t="s">
        <v>279</v>
      </c>
      <c r="C280" s="3" t="s">
        <v>280</v>
      </c>
    </row>
    <row r="281" spans="1:3" ht="15" x14ac:dyDescent="0.25">
      <c r="A281" s="3" t="s">
        <v>180</v>
      </c>
      <c r="B281" s="3" t="s">
        <v>279</v>
      </c>
      <c r="C281" s="3" t="s">
        <v>280</v>
      </c>
    </row>
    <row r="282" spans="1:3" ht="15" x14ac:dyDescent="0.25">
      <c r="A282" s="3" t="s">
        <v>150</v>
      </c>
      <c r="B282" s="3" t="s">
        <v>279</v>
      </c>
      <c r="C282" s="3" t="s">
        <v>280</v>
      </c>
    </row>
    <row r="283" spans="1:3" ht="15" x14ac:dyDescent="0.25">
      <c r="A283" s="3" t="s">
        <v>318</v>
      </c>
      <c r="B283" s="3" t="s">
        <v>279</v>
      </c>
      <c r="C283" s="3" t="s">
        <v>280</v>
      </c>
    </row>
    <row r="284" spans="1:3" ht="15" x14ac:dyDescent="0.25">
      <c r="A284" s="3" t="s">
        <v>108</v>
      </c>
      <c r="B284" s="3" t="s">
        <v>279</v>
      </c>
      <c r="C284" s="3" t="s">
        <v>280</v>
      </c>
    </row>
    <row r="285" spans="1:3" ht="15" x14ac:dyDescent="0.25">
      <c r="A285" s="3" t="s">
        <v>154</v>
      </c>
      <c r="B285" s="3" t="s">
        <v>279</v>
      </c>
      <c r="C285" s="3" t="s">
        <v>280</v>
      </c>
    </row>
    <row r="286" spans="1:3" ht="15" x14ac:dyDescent="0.25">
      <c r="A286" s="3" t="s">
        <v>320</v>
      </c>
      <c r="B286" s="3" t="s">
        <v>279</v>
      </c>
      <c r="C286" s="3" t="s">
        <v>280</v>
      </c>
    </row>
    <row r="287" spans="1:3" ht="15" x14ac:dyDescent="0.25">
      <c r="A287" s="3" t="s">
        <v>64</v>
      </c>
      <c r="B287" s="3" t="s">
        <v>279</v>
      </c>
      <c r="C287" s="3" t="s">
        <v>280</v>
      </c>
    </row>
    <row r="288" spans="1:3" ht="15" x14ac:dyDescent="0.25">
      <c r="A288" s="3" t="s">
        <v>321</v>
      </c>
      <c r="B288" s="3" t="s">
        <v>279</v>
      </c>
      <c r="C288" s="3" t="s">
        <v>280</v>
      </c>
    </row>
    <row r="289" spans="1:3" ht="15" x14ac:dyDescent="0.25">
      <c r="A289" s="3" t="s">
        <v>323</v>
      </c>
      <c r="B289" s="3" t="s">
        <v>279</v>
      </c>
      <c r="C289" s="3" t="s">
        <v>280</v>
      </c>
    </row>
    <row r="290" spans="1:3" ht="15" x14ac:dyDescent="0.25">
      <c r="A290" s="3" t="s">
        <v>225</v>
      </c>
      <c r="B290" s="3" t="s">
        <v>279</v>
      </c>
      <c r="C290" s="3" t="s">
        <v>280</v>
      </c>
    </row>
    <row r="291" spans="1:3" ht="15" x14ac:dyDescent="0.25">
      <c r="A291" s="3" t="s">
        <v>266</v>
      </c>
      <c r="B291" s="3" t="s">
        <v>279</v>
      </c>
      <c r="C291" s="3" t="s">
        <v>280</v>
      </c>
    </row>
    <row r="292" spans="1:3" ht="15" x14ac:dyDescent="0.25">
      <c r="A292" s="3" t="s">
        <v>78</v>
      </c>
      <c r="B292" s="3" t="s">
        <v>279</v>
      </c>
      <c r="C292" s="3" t="s">
        <v>280</v>
      </c>
    </row>
    <row r="293" spans="1:3" ht="15" x14ac:dyDescent="0.25">
      <c r="A293" s="3" t="s">
        <v>85</v>
      </c>
      <c r="B293" s="3" t="s">
        <v>279</v>
      </c>
      <c r="C293" s="3" t="s">
        <v>280</v>
      </c>
    </row>
    <row r="294" spans="1:3" ht="15" x14ac:dyDescent="0.25">
      <c r="A294" s="3" t="s">
        <v>86</v>
      </c>
      <c r="B294" s="3" t="s">
        <v>279</v>
      </c>
      <c r="C294" s="3" t="s">
        <v>280</v>
      </c>
    </row>
    <row r="295" spans="1:3" ht="15" x14ac:dyDescent="0.25">
      <c r="A295" s="3" t="s">
        <v>94</v>
      </c>
      <c r="B295" s="3" t="s">
        <v>279</v>
      </c>
      <c r="C295" s="3" t="s">
        <v>280</v>
      </c>
    </row>
    <row r="296" spans="1:3" ht="15" x14ac:dyDescent="0.25">
      <c r="A296" s="3" t="s">
        <v>269</v>
      </c>
      <c r="B296" s="3" t="s">
        <v>279</v>
      </c>
      <c r="C296" s="3" t="s">
        <v>280</v>
      </c>
    </row>
    <row r="297" spans="1:3" ht="15" x14ac:dyDescent="0.25">
      <c r="A297" s="3" t="s">
        <v>326</v>
      </c>
      <c r="B297" s="3" t="s">
        <v>279</v>
      </c>
      <c r="C297" s="3" t="s">
        <v>280</v>
      </c>
    </row>
    <row r="298" spans="1:3" ht="15" x14ac:dyDescent="0.25">
      <c r="A298" s="3" t="s">
        <v>327</v>
      </c>
      <c r="B298" s="3" t="s">
        <v>279</v>
      </c>
      <c r="C298" s="3" t="s">
        <v>280</v>
      </c>
    </row>
    <row r="299" spans="1:3" ht="15" x14ac:dyDescent="0.25">
      <c r="A299" s="3" t="s">
        <v>97</v>
      </c>
      <c r="B299" s="3" t="s">
        <v>279</v>
      </c>
      <c r="C299" s="3" t="s">
        <v>280</v>
      </c>
    </row>
    <row r="300" spans="1:3" ht="15" x14ac:dyDescent="0.25">
      <c r="A300" s="3" t="s">
        <v>328</v>
      </c>
      <c r="B300" s="3" t="s">
        <v>279</v>
      </c>
      <c r="C300" s="3" t="s">
        <v>280</v>
      </c>
    </row>
    <row r="301" spans="1:3" ht="15" x14ac:dyDescent="0.25">
      <c r="A301" s="3" t="s">
        <v>330</v>
      </c>
      <c r="B301" s="3" t="s">
        <v>279</v>
      </c>
      <c r="C301" s="3" t="s">
        <v>280</v>
      </c>
    </row>
    <row r="302" spans="1:3" ht="15" x14ac:dyDescent="0.25">
      <c r="A302" s="3" t="s">
        <v>208</v>
      </c>
      <c r="B302" s="3" t="s">
        <v>279</v>
      </c>
      <c r="C302" s="3" t="s">
        <v>280</v>
      </c>
    </row>
    <row r="303" spans="1:3" ht="15" x14ac:dyDescent="0.25">
      <c r="A303" s="3" t="s">
        <v>331</v>
      </c>
      <c r="B303" s="3" t="s">
        <v>279</v>
      </c>
      <c r="C303" s="3" t="s">
        <v>280</v>
      </c>
    </row>
    <row r="304" spans="1:3" ht="15" x14ac:dyDescent="0.25">
      <c r="A304" s="3" t="s">
        <v>277</v>
      </c>
      <c r="B304" s="3" t="s">
        <v>279</v>
      </c>
      <c r="C304" s="3" t="s">
        <v>280</v>
      </c>
    </row>
    <row r="305" spans="1:3" ht="15" x14ac:dyDescent="0.25">
      <c r="A305" s="3" t="s">
        <v>98</v>
      </c>
      <c r="B305" s="3" t="s">
        <v>279</v>
      </c>
      <c r="C305" s="3" t="s">
        <v>280</v>
      </c>
    </row>
    <row r="306" spans="1:3" ht="15" x14ac:dyDescent="0.25">
      <c r="A306" s="3" t="s">
        <v>333</v>
      </c>
      <c r="B306" s="3" t="s">
        <v>279</v>
      </c>
      <c r="C306" s="3" t="s">
        <v>280</v>
      </c>
    </row>
    <row r="307" spans="1:3" ht="15" x14ac:dyDescent="0.25">
      <c r="A307" s="3" t="s">
        <v>334</v>
      </c>
      <c r="B307" s="3" t="s">
        <v>279</v>
      </c>
      <c r="C307" s="3" t="s">
        <v>280</v>
      </c>
    </row>
    <row r="308" spans="1:3" ht="15" x14ac:dyDescent="0.25">
      <c r="A308" s="3" t="s">
        <v>145</v>
      </c>
      <c r="B308" s="3" t="s">
        <v>279</v>
      </c>
      <c r="C308" s="3" t="s">
        <v>280</v>
      </c>
    </row>
    <row r="309" spans="1:3" ht="15" x14ac:dyDescent="0.25">
      <c r="A309" s="3" t="s">
        <v>276</v>
      </c>
      <c r="B309" s="3" t="s">
        <v>279</v>
      </c>
      <c r="C309" s="3" t="s">
        <v>280</v>
      </c>
    </row>
    <row r="310" spans="1:3" ht="15" x14ac:dyDescent="0.25">
      <c r="A310" s="3" t="s">
        <v>102</v>
      </c>
      <c r="B310" s="3" t="s">
        <v>279</v>
      </c>
      <c r="C310" s="3" t="s">
        <v>280</v>
      </c>
    </row>
    <row r="311" spans="1:3" ht="15" x14ac:dyDescent="0.25">
      <c r="A311" s="3" t="s">
        <v>233</v>
      </c>
      <c r="B311" s="3" t="s">
        <v>336</v>
      </c>
      <c r="C311" s="3" t="s">
        <v>105</v>
      </c>
    </row>
    <row r="312" spans="1:3" ht="15" x14ac:dyDescent="0.25">
      <c r="A312" s="3" t="s">
        <v>20</v>
      </c>
      <c r="B312" s="3" t="s">
        <v>336</v>
      </c>
      <c r="C312" s="3" t="s">
        <v>105</v>
      </c>
    </row>
    <row r="313" spans="1:3" ht="15" x14ac:dyDescent="0.25">
      <c r="A313" s="3" t="s">
        <v>169</v>
      </c>
      <c r="B313" s="3" t="s">
        <v>336</v>
      </c>
      <c r="C313" s="3" t="s">
        <v>105</v>
      </c>
    </row>
    <row r="314" spans="1:3" ht="15" x14ac:dyDescent="0.25">
      <c r="A314" s="3" t="s">
        <v>338</v>
      </c>
      <c r="B314" s="3" t="s">
        <v>336</v>
      </c>
      <c r="C314" s="3" t="s">
        <v>105</v>
      </c>
    </row>
    <row r="315" spans="1:3" ht="15" x14ac:dyDescent="0.25">
      <c r="A315" s="3" t="s">
        <v>25</v>
      </c>
      <c r="B315" s="3" t="s">
        <v>336</v>
      </c>
      <c r="C315" s="3" t="s">
        <v>105</v>
      </c>
    </row>
    <row r="316" spans="1:3" ht="15" x14ac:dyDescent="0.25">
      <c r="A316" s="3" t="s">
        <v>41</v>
      </c>
      <c r="B316" s="3" t="s">
        <v>336</v>
      </c>
      <c r="C316" s="3" t="s">
        <v>105</v>
      </c>
    </row>
    <row r="317" spans="1:3" ht="15" x14ac:dyDescent="0.25">
      <c r="A317" s="3" t="s">
        <v>141</v>
      </c>
      <c r="B317" s="3" t="s">
        <v>336</v>
      </c>
      <c r="C317" s="3" t="s">
        <v>105</v>
      </c>
    </row>
    <row r="318" spans="1:3" ht="15" x14ac:dyDescent="0.25">
      <c r="A318" s="3" t="s">
        <v>199</v>
      </c>
      <c r="B318" s="3" t="s">
        <v>336</v>
      </c>
      <c r="C318" s="3" t="s">
        <v>105</v>
      </c>
    </row>
    <row r="319" spans="1:3" ht="15" x14ac:dyDescent="0.25">
      <c r="A319" s="3" t="s">
        <v>174</v>
      </c>
      <c r="B319" s="3" t="s">
        <v>336</v>
      </c>
      <c r="C319" s="3" t="s">
        <v>105</v>
      </c>
    </row>
    <row r="320" spans="1:3" ht="15" x14ac:dyDescent="0.25">
      <c r="A320" s="3" t="s">
        <v>340</v>
      </c>
      <c r="B320" s="3" t="s">
        <v>336</v>
      </c>
      <c r="C320" s="3" t="s">
        <v>105</v>
      </c>
    </row>
    <row r="321" spans="1:3" ht="15" x14ac:dyDescent="0.25">
      <c r="A321" s="3" t="s">
        <v>200</v>
      </c>
      <c r="B321" s="3" t="s">
        <v>336</v>
      </c>
      <c r="C321" s="3" t="s">
        <v>105</v>
      </c>
    </row>
    <row r="322" spans="1:3" ht="15" x14ac:dyDescent="0.25">
      <c r="A322" s="3" t="s">
        <v>317</v>
      </c>
      <c r="B322" s="3" t="s">
        <v>336</v>
      </c>
      <c r="C322" s="3" t="s">
        <v>105</v>
      </c>
    </row>
    <row r="323" spans="1:3" ht="15" x14ac:dyDescent="0.25">
      <c r="A323" s="3" t="s">
        <v>341</v>
      </c>
      <c r="B323" s="3" t="s">
        <v>336</v>
      </c>
      <c r="C323" s="3" t="s">
        <v>105</v>
      </c>
    </row>
    <row r="324" spans="1:3" ht="15" x14ac:dyDescent="0.25">
      <c r="A324" s="3" t="s">
        <v>260</v>
      </c>
      <c r="B324" s="3" t="s">
        <v>336</v>
      </c>
      <c r="C324" s="3" t="s">
        <v>105</v>
      </c>
    </row>
    <row r="325" spans="1:3" ht="15" x14ac:dyDescent="0.25">
      <c r="A325" s="3" t="s">
        <v>224</v>
      </c>
      <c r="B325" s="3" t="s">
        <v>336</v>
      </c>
      <c r="C325" s="3" t="s">
        <v>105</v>
      </c>
    </row>
    <row r="326" spans="1:3" ht="15" x14ac:dyDescent="0.25">
      <c r="A326" s="3" t="s">
        <v>343</v>
      </c>
      <c r="B326" s="3" t="s">
        <v>336</v>
      </c>
      <c r="C326" s="3" t="s">
        <v>105</v>
      </c>
    </row>
    <row r="327" spans="1:3" ht="15" x14ac:dyDescent="0.25">
      <c r="A327" s="3" t="s">
        <v>344</v>
      </c>
      <c r="B327" s="3" t="s">
        <v>336</v>
      </c>
      <c r="C327" s="3" t="s">
        <v>105</v>
      </c>
    </row>
    <row r="328" spans="1:3" ht="15" x14ac:dyDescent="0.25">
      <c r="A328" s="3" t="s">
        <v>89</v>
      </c>
      <c r="B328" s="3" t="s">
        <v>336</v>
      </c>
      <c r="C328" s="3" t="s">
        <v>105</v>
      </c>
    </row>
    <row r="329" spans="1:3" ht="15" x14ac:dyDescent="0.25">
      <c r="A329" s="3" t="s">
        <v>91</v>
      </c>
      <c r="B329" s="3" t="s">
        <v>336</v>
      </c>
      <c r="C329" s="3" t="s">
        <v>105</v>
      </c>
    </row>
    <row r="330" spans="1:3" ht="15" x14ac:dyDescent="0.25">
      <c r="A330" s="3" t="s">
        <v>326</v>
      </c>
      <c r="B330" s="3" t="s">
        <v>336</v>
      </c>
      <c r="C330" s="3" t="s">
        <v>105</v>
      </c>
    </row>
    <row r="331" spans="1:3" ht="15" x14ac:dyDescent="0.25">
      <c r="A331" s="3" t="s">
        <v>227</v>
      </c>
      <c r="B331" s="3" t="s">
        <v>336</v>
      </c>
      <c r="C331" s="3" t="s">
        <v>105</v>
      </c>
    </row>
    <row r="332" spans="1:3" ht="15" x14ac:dyDescent="0.25">
      <c r="A332" s="3" t="s">
        <v>328</v>
      </c>
      <c r="B332" s="3" t="s">
        <v>336</v>
      </c>
      <c r="C332" s="3" t="s">
        <v>105</v>
      </c>
    </row>
    <row r="333" spans="1:3" ht="15" x14ac:dyDescent="0.25">
      <c r="A333" s="3" t="s">
        <v>228</v>
      </c>
      <c r="B333" s="3" t="s">
        <v>336</v>
      </c>
      <c r="C333" s="3" t="s">
        <v>105</v>
      </c>
    </row>
    <row r="334" spans="1:3" ht="15" x14ac:dyDescent="0.25">
      <c r="A334" s="3" t="s">
        <v>346</v>
      </c>
      <c r="B334" s="3" t="s">
        <v>336</v>
      </c>
      <c r="C334" s="3" t="s">
        <v>105</v>
      </c>
    </row>
    <row r="335" spans="1:3" ht="15" x14ac:dyDescent="0.25">
      <c r="A335" s="3" t="s">
        <v>187</v>
      </c>
      <c r="B335" s="3" t="s">
        <v>348</v>
      </c>
      <c r="C335" s="3" t="s">
        <v>105</v>
      </c>
    </row>
    <row r="336" spans="1:3" ht="15" x14ac:dyDescent="0.25">
      <c r="A336" s="3" t="s">
        <v>127</v>
      </c>
      <c r="B336" s="3" t="s">
        <v>348</v>
      </c>
      <c r="C336" s="3" t="s">
        <v>105</v>
      </c>
    </row>
    <row r="337" spans="1:3" ht="15" x14ac:dyDescent="0.25">
      <c r="A337" s="3" t="s">
        <v>349</v>
      </c>
      <c r="B337" s="3" t="s">
        <v>348</v>
      </c>
      <c r="C337" s="3" t="s">
        <v>105</v>
      </c>
    </row>
    <row r="338" spans="1:3" ht="15" x14ac:dyDescent="0.25">
      <c r="A338" s="3" t="s">
        <v>135</v>
      </c>
      <c r="B338" s="3" t="s">
        <v>348</v>
      </c>
      <c r="C338" s="3" t="s">
        <v>105</v>
      </c>
    </row>
    <row r="339" spans="1:3" ht="15" x14ac:dyDescent="0.25">
      <c r="A339" s="3" t="s">
        <v>142</v>
      </c>
      <c r="B339" s="3" t="s">
        <v>348</v>
      </c>
      <c r="C339" s="3" t="s">
        <v>105</v>
      </c>
    </row>
    <row r="340" spans="1:3" ht="15" x14ac:dyDescent="0.25">
      <c r="A340" s="3" t="s">
        <v>301</v>
      </c>
      <c r="B340" s="3" t="s">
        <v>348</v>
      </c>
      <c r="C340" s="3" t="s">
        <v>105</v>
      </c>
    </row>
    <row r="341" spans="1:3" ht="15" x14ac:dyDescent="0.25">
      <c r="A341" s="3" t="s">
        <v>350</v>
      </c>
      <c r="B341" s="3" t="s">
        <v>348</v>
      </c>
      <c r="C341" s="3" t="s">
        <v>105</v>
      </c>
    </row>
    <row r="342" spans="1:3" ht="15" x14ac:dyDescent="0.25">
      <c r="A342" s="3" t="s">
        <v>251</v>
      </c>
      <c r="B342" s="3" t="s">
        <v>348</v>
      </c>
      <c r="C342" s="3" t="s">
        <v>105</v>
      </c>
    </row>
    <row r="343" spans="1:3" ht="15" x14ac:dyDescent="0.25">
      <c r="A343" s="3" t="s">
        <v>305</v>
      </c>
      <c r="B343" s="3" t="s">
        <v>348</v>
      </c>
      <c r="C343" s="3" t="s">
        <v>105</v>
      </c>
    </row>
    <row r="344" spans="1:3" ht="15" x14ac:dyDescent="0.25">
      <c r="A344" s="3" t="s">
        <v>38</v>
      </c>
      <c r="B344" s="3" t="s">
        <v>348</v>
      </c>
      <c r="C344" s="3" t="s">
        <v>105</v>
      </c>
    </row>
    <row r="345" spans="1:3" ht="15" x14ac:dyDescent="0.25">
      <c r="A345" s="3" t="s">
        <v>197</v>
      </c>
      <c r="B345" s="3" t="s">
        <v>348</v>
      </c>
      <c r="C345" s="3" t="s">
        <v>105</v>
      </c>
    </row>
    <row r="346" spans="1:3" ht="15" x14ac:dyDescent="0.25">
      <c r="A346" s="3" t="s">
        <v>46</v>
      </c>
      <c r="B346" s="3" t="s">
        <v>348</v>
      </c>
      <c r="C346" s="3" t="s">
        <v>105</v>
      </c>
    </row>
    <row r="347" spans="1:3" ht="15" x14ac:dyDescent="0.25">
      <c r="A347" s="3" t="s">
        <v>351</v>
      </c>
      <c r="B347" s="3" t="s">
        <v>348</v>
      </c>
      <c r="C347" s="3" t="s">
        <v>105</v>
      </c>
    </row>
    <row r="348" spans="1:3" ht="15" x14ac:dyDescent="0.25">
      <c r="A348" s="3" t="s">
        <v>149</v>
      </c>
      <c r="B348" s="3" t="s">
        <v>348</v>
      </c>
      <c r="C348" s="3" t="s">
        <v>105</v>
      </c>
    </row>
    <row r="349" spans="1:3" ht="15" x14ac:dyDescent="0.25">
      <c r="A349" s="3" t="s">
        <v>223</v>
      </c>
      <c r="B349" s="3" t="s">
        <v>348</v>
      </c>
      <c r="C349" s="3" t="s">
        <v>105</v>
      </c>
    </row>
    <row r="350" spans="1:3" ht="15" x14ac:dyDescent="0.25">
      <c r="A350" s="3" t="s">
        <v>353</v>
      </c>
      <c r="B350" s="3" t="s">
        <v>348</v>
      </c>
      <c r="C350" s="3" t="s">
        <v>105</v>
      </c>
    </row>
    <row r="351" spans="1:3" ht="15" x14ac:dyDescent="0.25">
      <c r="A351" s="3" t="s">
        <v>72</v>
      </c>
      <c r="B351" s="3" t="s">
        <v>348</v>
      </c>
      <c r="C351" s="3" t="s">
        <v>105</v>
      </c>
    </row>
    <row r="352" spans="1:3" ht="15" x14ac:dyDescent="0.25">
      <c r="A352" s="3" t="s">
        <v>225</v>
      </c>
      <c r="B352" s="3" t="s">
        <v>348</v>
      </c>
      <c r="C352" s="3" t="s">
        <v>105</v>
      </c>
    </row>
    <row r="353" spans="1:3" ht="15" x14ac:dyDescent="0.25">
      <c r="A353" s="3" t="s">
        <v>161</v>
      </c>
      <c r="B353" s="3" t="s">
        <v>348</v>
      </c>
      <c r="C353" s="3" t="s">
        <v>105</v>
      </c>
    </row>
    <row r="354" spans="1:3" ht="15" x14ac:dyDescent="0.25">
      <c r="A354" s="3" t="s">
        <v>355</v>
      </c>
      <c r="B354" s="3" t="s">
        <v>348</v>
      </c>
      <c r="C354" s="3" t="s">
        <v>105</v>
      </c>
    </row>
    <row r="355" spans="1:3" ht="15" x14ac:dyDescent="0.25">
      <c r="A355" s="3" t="s">
        <v>277</v>
      </c>
      <c r="B355" s="3" t="s">
        <v>348</v>
      </c>
      <c r="C355" s="3" t="s">
        <v>105</v>
      </c>
    </row>
    <row r="356" spans="1:3" ht="15" x14ac:dyDescent="0.25">
      <c r="A356" s="3" t="s">
        <v>230</v>
      </c>
      <c r="B356" s="3" t="s">
        <v>348</v>
      </c>
      <c r="C356" s="3" t="s">
        <v>105</v>
      </c>
    </row>
    <row r="357" spans="1:3" ht="15" x14ac:dyDescent="0.25">
      <c r="A357" s="3" t="s">
        <v>189</v>
      </c>
      <c r="B357" s="3" t="s">
        <v>356</v>
      </c>
      <c r="C357" s="3" t="s">
        <v>280</v>
      </c>
    </row>
    <row r="358" spans="1:3" ht="15" x14ac:dyDescent="0.25">
      <c r="A358" s="3" t="s">
        <v>161</v>
      </c>
      <c r="B358" s="3" t="s">
        <v>356</v>
      </c>
      <c r="C358" s="3" t="s">
        <v>280</v>
      </c>
    </row>
    <row r="359" spans="1:3" ht="15" x14ac:dyDescent="0.25">
      <c r="A359" s="3" t="s">
        <v>103</v>
      </c>
      <c r="B359" s="3" t="s">
        <v>357</v>
      </c>
      <c r="C359" s="3" t="s">
        <v>105</v>
      </c>
    </row>
    <row r="360" spans="1:3" ht="15" x14ac:dyDescent="0.25">
      <c r="A360" s="3" t="s">
        <v>359</v>
      </c>
      <c r="B360" s="3" t="s">
        <v>357</v>
      </c>
      <c r="C360" s="3" t="s">
        <v>105</v>
      </c>
    </row>
    <row r="361" spans="1:3" ht="15" x14ac:dyDescent="0.25">
      <c r="A361" s="3" t="s">
        <v>187</v>
      </c>
      <c r="B361" s="3" t="s">
        <v>357</v>
      </c>
      <c r="C361" s="3" t="s">
        <v>105</v>
      </c>
    </row>
    <row r="362" spans="1:3" ht="15" x14ac:dyDescent="0.25">
      <c r="A362" s="3" t="s">
        <v>258</v>
      </c>
      <c r="B362" s="3" t="s">
        <v>357</v>
      </c>
      <c r="C362" s="3" t="s">
        <v>105</v>
      </c>
    </row>
    <row r="363" spans="1:3" ht="15" x14ac:dyDescent="0.25">
      <c r="A363" s="3" t="s">
        <v>11</v>
      </c>
      <c r="B363" s="3" t="s">
        <v>357</v>
      </c>
      <c r="C363" s="3" t="s">
        <v>105</v>
      </c>
    </row>
    <row r="364" spans="1:3" ht="15" x14ac:dyDescent="0.25">
      <c r="A364" s="3" t="s">
        <v>164</v>
      </c>
      <c r="B364" s="3" t="s">
        <v>357</v>
      </c>
      <c r="C364" s="3" t="s">
        <v>105</v>
      </c>
    </row>
    <row r="365" spans="1:3" ht="15" x14ac:dyDescent="0.25">
      <c r="A365" s="3" t="s">
        <v>135</v>
      </c>
      <c r="B365" s="3" t="s">
        <v>357</v>
      </c>
      <c r="C365" s="3" t="s">
        <v>105</v>
      </c>
    </row>
    <row r="366" spans="1:3" ht="15" x14ac:dyDescent="0.25">
      <c r="A366" s="3" t="s">
        <v>193</v>
      </c>
      <c r="B366" s="3" t="s">
        <v>357</v>
      </c>
      <c r="C366" s="3" t="s">
        <v>105</v>
      </c>
    </row>
    <row r="367" spans="1:3" ht="15" x14ac:dyDescent="0.25">
      <c r="A367" s="3" t="s">
        <v>251</v>
      </c>
      <c r="B367" s="3" t="s">
        <v>357</v>
      </c>
      <c r="C367" s="3" t="s">
        <v>105</v>
      </c>
    </row>
    <row r="368" spans="1:3" ht="15" x14ac:dyDescent="0.25">
      <c r="A368" s="3" t="s">
        <v>194</v>
      </c>
      <c r="B368" s="3" t="s">
        <v>357</v>
      </c>
      <c r="C368" s="3" t="s">
        <v>105</v>
      </c>
    </row>
    <row r="369" spans="1:3" ht="15" x14ac:dyDescent="0.25">
      <c r="A369" s="3" t="s">
        <v>195</v>
      </c>
      <c r="B369" s="3" t="s">
        <v>357</v>
      </c>
      <c r="C369" s="3" t="s">
        <v>105</v>
      </c>
    </row>
    <row r="370" spans="1:3" ht="15" x14ac:dyDescent="0.25">
      <c r="A370" s="3" t="s">
        <v>362</v>
      </c>
      <c r="B370" s="3" t="s">
        <v>357</v>
      </c>
      <c r="C370" s="3" t="s">
        <v>105</v>
      </c>
    </row>
    <row r="371" spans="1:3" ht="15" x14ac:dyDescent="0.25">
      <c r="A371" s="3" t="s">
        <v>363</v>
      </c>
      <c r="B371" s="3" t="s">
        <v>357</v>
      </c>
      <c r="C371" s="3" t="s">
        <v>105</v>
      </c>
    </row>
    <row r="372" spans="1:3" ht="15" x14ac:dyDescent="0.25">
      <c r="A372" s="3" t="s">
        <v>364</v>
      </c>
      <c r="B372" s="3" t="s">
        <v>357</v>
      </c>
      <c r="C372" s="3" t="s">
        <v>105</v>
      </c>
    </row>
    <row r="373" spans="1:3" ht="15" x14ac:dyDescent="0.25">
      <c r="A373" s="3" t="s">
        <v>178</v>
      </c>
      <c r="B373" s="3" t="s">
        <v>357</v>
      </c>
      <c r="C373" s="3" t="s">
        <v>105</v>
      </c>
    </row>
    <row r="374" spans="1:3" ht="15" x14ac:dyDescent="0.25">
      <c r="A374" s="3" t="s">
        <v>366</v>
      </c>
      <c r="B374" s="3" t="s">
        <v>357</v>
      </c>
      <c r="C374" s="3" t="s">
        <v>105</v>
      </c>
    </row>
    <row r="375" spans="1:3" ht="15" x14ac:dyDescent="0.25">
      <c r="A375" s="3" t="s">
        <v>150</v>
      </c>
      <c r="B375" s="3" t="s">
        <v>357</v>
      </c>
      <c r="C375" s="3" t="s">
        <v>105</v>
      </c>
    </row>
    <row r="376" spans="1:3" ht="15" x14ac:dyDescent="0.25">
      <c r="A376" s="3" t="s">
        <v>367</v>
      </c>
      <c r="B376" s="3" t="s">
        <v>357</v>
      </c>
      <c r="C376" s="3" t="s">
        <v>105</v>
      </c>
    </row>
    <row r="377" spans="1:3" ht="15" x14ac:dyDescent="0.25">
      <c r="A377" s="3" t="s">
        <v>158</v>
      </c>
      <c r="B377" s="3" t="s">
        <v>357</v>
      </c>
      <c r="C377" s="3" t="s">
        <v>105</v>
      </c>
    </row>
    <row r="378" spans="1:3" ht="15" x14ac:dyDescent="0.25">
      <c r="A378" s="3" t="s">
        <v>116</v>
      </c>
      <c r="B378" s="3" t="s">
        <v>357</v>
      </c>
      <c r="C378" s="3" t="s">
        <v>105</v>
      </c>
    </row>
    <row r="379" spans="1:3" ht="15" x14ac:dyDescent="0.25">
      <c r="A379" s="3" t="s">
        <v>90</v>
      </c>
      <c r="B379" s="3" t="s">
        <v>357</v>
      </c>
      <c r="C379" s="3" t="s">
        <v>105</v>
      </c>
    </row>
    <row r="380" spans="1:3" ht="15" x14ac:dyDescent="0.25">
      <c r="A380" s="3" t="s">
        <v>368</v>
      </c>
      <c r="B380" s="3" t="s">
        <v>357</v>
      </c>
      <c r="C380" s="3" t="s">
        <v>105</v>
      </c>
    </row>
    <row r="381" spans="1:3" ht="15" x14ac:dyDescent="0.25">
      <c r="A381" s="3" t="s">
        <v>331</v>
      </c>
      <c r="B381" s="3" t="s">
        <v>357</v>
      </c>
      <c r="C381" s="3" t="s">
        <v>105</v>
      </c>
    </row>
    <row r="382" spans="1:3" ht="15" x14ac:dyDescent="0.25">
      <c r="A382" s="3" t="s">
        <v>370</v>
      </c>
      <c r="B382" s="3" t="s">
        <v>357</v>
      </c>
      <c r="C382" s="3" t="s">
        <v>105</v>
      </c>
    </row>
    <row r="383" spans="1:3" ht="15" x14ac:dyDescent="0.25">
      <c r="A383" s="3" t="s">
        <v>131</v>
      </c>
      <c r="B383" s="3" t="s">
        <v>357</v>
      </c>
      <c r="C383" s="3" t="s">
        <v>105</v>
      </c>
    </row>
    <row r="384" spans="1:3" ht="15" x14ac:dyDescent="0.25">
      <c r="A384" s="3" t="s">
        <v>205</v>
      </c>
      <c r="B384" s="3" t="s">
        <v>372</v>
      </c>
      <c r="C384" s="3" t="s">
        <v>105</v>
      </c>
    </row>
    <row r="385" spans="1:3" ht="15" x14ac:dyDescent="0.25">
      <c r="A385" s="3" t="s">
        <v>10</v>
      </c>
      <c r="B385" s="3" t="s">
        <v>372</v>
      </c>
      <c r="C385" s="3" t="s">
        <v>105</v>
      </c>
    </row>
    <row r="386" spans="1:3" ht="15" x14ac:dyDescent="0.25">
      <c r="A386" s="3" t="s">
        <v>237</v>
      </c>
      <c r="B386" s="3" t="s">
        <v>372</v>
      </c>
      <c r="C386" s="3" t="s">
        <v>105</v>
      </c>
    </row>
    <row r="387" spans="1:3" ht="15" x14ac:dyDescent="0.25">
      <c r="A387" s="3" t="s">
        <v>288</v>
      </c>
      <c r="B387" s="3" t="s">
        <v>372</v>
      </c>
      <c r="C387" s="3" t="s">
        <v>105</v>
      </c>
    </row>
    <row r="388" spans="1:3" ht="15" x14ac:dyDescent="0.25">
      <c r="A388" s="3" t="s">
        <v>374</v>
      </c>
      <c r="B388" s="3" t="s">
        <v>372</v>
      </c>
      <c r="C388" s="3" t="s">
        <v>105</v>
      </c>
    </row>
    <row r="389" spans="1:3" ht="15" x14ac:dyDescent="0.25">
      <c r="A389" s="3" t="s">
        <v>214</v>
      </c>
      <c r="B389" s="3" t="s">
        <v>372</v>
      </c>
      <c r="C389" s="3" t="s">
        <v>105</v>
      </c>
    </row>
    <row r="390" spans="1:3" ht="15" x14ac:dyDescent="0.25">
      <c r="A390" s="3" t="s">
        <v>216</v>
      </c>
      <c r="B390" s="3" t="s">
        <v>372</v>
      </c>
      <c r="C390" s="3" t="s">
        <v>105</v>
      </c>
    </row>
    <row r="391" spans="1:3" ht="15" x14ac:dyDescent="0.25">
      <c r="A391" s="3" t="s">
        <v>217</v>
      </c>
      <c r="B391" s="3" t="s">
        <v>372</v>
      </c>
      <c r="C391" s="3" t="s">
        <v>105</v>
      </c>
    </row>
    <row r="392" spans="1:3" ht="15" x14ac:dyDescent="0.25">
      <c r="A392" s="3" t="s">
        <v>303</v>
      </c>
      <c r="B392" s="3" t="s">
        <v>372</v>
      </c>
      <c r="C392" s="3" t="s">
        <v>105</v>
      </c>
    </row>
    <row r="393" spans="1:3" ht="15" x14ac:dyDescent="0.25">
      <c r="A393" s="3" t="s">
        <v>107</v>
      </c>
      <c r="B393" s="3" t="s">
        <v>372</v>
      </c>
      <c r="C393" s="3" t="s">
        <v>105</v>
      </c>
    </row>
    <row r="394" spans="1:3" ht="15" x14ac:dyDescent="0.25">
      <c r="A394" s="3" t="s">
        <v>49</v>
      </c>
      <c r="B394" s="3" t="s">
        <v>372</v>
      </c>
      <c r="C394" s="3" t="s">
        <v>105</v>
      </c>
    </row>
    <row r="395" spans="1:3" ht="15" x14ac:dyDescent="0.25">
      <c r="A395" s="3" t="s">
        <v>311</v>
      </c>
      <c r="B395" s="3" t="s">
        <v>372</v>
      </c>
      <c r="C395" s="3" t="s">
        <v>105</v>
      </c>
    </row>
    <row r="396" spans="1:3" ht="15" x14ac:dyDescent="0.25">
      <c r="A396" s="3" t="s">
        <v>222</v>
      </c>
      <c r="B396" s="3" t="s">
        <v>372</v>
      </c>
      <c r="C396" s="3" t="s">
        <v>105</v>
      </c>
    </row>
    <row r="397" spans="1:3" ht="15" x14ac:dyDescent="0.25">
      <c r="A397" s="3" t="s">
        <v>260</v>
      </c>
      <c r="B397" s="3" t="s">
        <v>372</v>
      </c>
      <c r="C397" s="3" t="s">
        <v>105</v>
      </c>
    </row>
    <row r="398" spans="1:3" ht="15" x14ac:dyDescent="0.25">
      <c r="A398" s="3" t="s">
        <v>264</v>
      </c>
      <c r="B398" s="3" t="s">
        <v>372</v>
      </c>
      <c r="C398" s="3" t="s">
        <v>105</v>
      </c>
    </row>
    <row r="399" spans="1:3" ht="15" x14ac:dyDescent="0.25">
      <c r="A399" s="3" t="s">
        <v>375</v>
      </c>
      <c r="B399" s="3" t="s">
        <v>372</v>
      </c>
      <c r="C399" s="3" t="s">
        <v>105</v>
      </c>
    </row>
    <row r="400" spans="1:3" ht="15" x14ac:dyDescent="0.25">
      <c r="A400" s="3" t="s">
        <v>94</v>
      </c>
      <c r="B400" s="3" t="s">
        <v>372</v>
      </c>
      <c r="C400" s="3" t="s">
        <v>105</v>
      </c>
    </row>
    <row r="401" spans="1:3" ht="15" x14ac:dyDescent="0.25">
      <c r="A401" s="3" t="s">
        <v>270</v>
      </c>
      <c r="B401" s="3" t="s">
        <v>372</v>
      </c>
      <c r="C401" s="3" t="s">
        <v>105</v>
      </c>
    </row>
    <row r="402" spans="1:3" ht="15" x14ac:dyDescent="0.25">
      <c r="A402" s="3" t="s">
        <v>376</v>
      </c>
      <c r="B402" s="3" t="s">
        <v>372</v>
      </c>
      <c r="C402" s="3" t="s">
        <v>105</v>
      </c>
    </row>
    <row r="403" spans="1:3" ht="15" x14ac:dyDescent="0.25">
      <c r="A403" s="3" t="s">
        <v>119</v>
      </c>
      <c r="B403" s="3" t="s">
        <v>372</v>
      </c>
      <c r="C403" s="3" t="s">
        <v>105</v>
      </c>
    </row>
    <row r="404" spans="1:3" ht="15" x14ac:dyDescent="0.25">
      <c r="A404" s="3" t="s">
        <v>359</v>
      </c>
      <c r="B404" s="3" t="s">
        <v>377</v>
      </c>
      <c r="C404" s="3" t="s">
        <v>168</v>
      </c>
    </row>
    <row r="405" spans="1:3" ht="15" x14ac:dyDescent="0.25">
      <c r="A405" s="3" t="s">
        <v>186</v>
      </c>
      <c r="B405" s="3" t="s">
        <v>377</v>
      </c>
      <c r="C405" s="3" t="s">
        <v>168</v>
      </c>
    </row>
    <row r="406" spans="1:3" ht="15" x14ac:dyDescent="0.25">
      <c r="A406" s="3" t="s">
        <v>211</v>
      </c>
      <c r="B406" s="3" t="s">
        <v>377</v>
      </c>
      <c r="C406" s="3" t="s">
        <v>168</v>
      </c>
    </row>
    <row r="407" spans="1:3" ht="15" x14ac:dyDescent="0.25">
      <c r="A407" s="3" t="s">
        <v>378</v>
      </c>
      <c r="B407" s="3" t="s">
        <v>377</v>
      </c>
      <c r="C407" s="3" t="s">
        <v>168</v>
      </c>
    </row>
    <row r="408" spans="1:3" ht="15" x14ac:dyDescent="0.25">
      <c r="A408" s="3" t="s">
        <v>25</v>
      </c>
      <c r="B408" s="3" t="s">
        <v>377</v>
      </c>
      <c r="C408" s="3" t="s">
        <v>168</v>
      </c>
    </row>
    <row r="409" spans="1:3" ht="15" x14ac:dyDescent="0.25">
      <c r="A409" s="3" t="s">
        <v>242</v>
      </c>
      <c r="B409" s="3" t="s">
        <v>377</v>
      </c>
      <c r="C409" s="3" t="s">
        <v>168</v>
      </c>
    </row>
    <row r="410" spans="1:3" ht="15" x14ac:dyDescent="0.25">
      <c r="A410" s="3" t="s">
        <v>27</v>
      </c>
      <c r="B410" s="3" t="s">
        <v>377</v>
      </c>
      <c r="C410" s="3" t="s">
        <v>168</v>
      </c>
    </row>
    <row r="411" spans="1:3" ht="15" x14ac:dyDescent="0.25">
      <c r="A411" s="3" t="s">
        <v>350</v>
      </c>
      <c r="B411" s="3" t="s">
        <v>377</v>
      </c>
      <c r="C411" s="3" t="s">
        <v>168</v>
      </c>
    </row>
    <row r="412" spans="1:3" ht="15" x14ac:dyDescent="0.25">
      <c r="A412" s="3" t="s">
        <v>379</v>
      </c>
      <c r="B412" s="3" t="s">
        <v>377</v>
      </c>
      <c r="C412" s="3" t="s">
        <v>168</v>
      </c>
    </row>
    <row r="413" spans="1:3" ht="15" x14ac:dyDescent="0.25">
      <c r="A413" s="3" t="s">
        <v>380</v>
      </c>
      <c r="B413" s="3" t="s">
        <v>377</v>
      </c>
      <c r="C413" s="3" t="s">
        <v>168</v>
      </c>
    </row>
    <row r="414" spans="1:3" ht="15" x14ac:dyDescent="0.25">
      <c r="A414" s="3" t="s">
        <v>38</v>
      </c>
      <c r="B414" s="3" t="s">
        <v>377</v>
      </c>
      <c r="C414" s="3" t="s">
        <v>168</v>
      </c>
    </row>
    <row r="415" spans="1:3" ht="15" x14ac:dyDescent="0.25">
      <c r="A415" s="3" t="s">
        <v>381</v>
      </c>
      <c r="B415" s="3" t="s">
        <v>377</v>
      </c>
      <c r="C415" s="3" t="s">
        <v>168</v>
      </c>
    </row>
    <row r="416" spans="1:3" ht="15" x14ac:dyDescent="0.25">
      <c r="A416" s="3" t="s">
        <v>311</v>
      </c>
      <c r="B416" s="3" t="s">
        <v>377</v>
      </c>
      <c r="C416" s="3" t="s">
        <v>168</v>
      </c>
    </row>
    <row r="417" spans="1:3" ht="15" x14ac:dyDescent="0.25">
      <c r="A417" s="3" t="s">
        <v>137</v>
      </c>
      <c r="B417" s="3" t="s">
        <v>377</v>
      </c>
      <c r="C417" s="3" t="s">
        <v>168</v>
      </c>
    </row>
    <row r="418" spans="1:3" ht="15" x14ac:dyDescent="0.25">
      <c r="A418" s="3" t="s">
        <v>317</v>
      </c>
      <c r="B418" s="3" t="s">
        <v>377</v>
      </c>
      <c r="C418" s="3" t="s">
        <v>168</v>
      </c>
    </row>
    <row r="419" spans="1:3" ht="15" x14ac:dyDescent="0.25">
      <c r="A419" s="3" t="s">
        <v>262</v>
      </c>
      <c r="B419" s="3" t="s">
        <v>377</v>
      </c>
      <c r="C419" s="3" t="s">
        <v>168</v>
      </c>
    </row>
    <row r="420" spans="1:3" ht="15" x14ac:dyDescent="0.25">
      <c r="A420" s="3" t="s">
        <v>367</v>
      </c>
      <c r="B420" s="3" t="s">
        <v>377</v>
      </c>
      <c r="C420" s="3" t="s">
        <v>168</v>
      </c>
    </row>
    <row r="421" spans="1:3" ht="15" x14ac:dyDescent="0.25">
      <c r="A421" s="3" t="s">
        <v>306</v>
      </c>
      <c r="B421" s="3" t="s">
        <v>377</v>
      </c>
      <c r="C421" s="3" t="s">
        <v>168</v>
      </c>
    </row>
    <row r="422" spans="1:3" ht="15" x14ac:dyDescent="0.25">
      <c r="A422" s="3" t="s">
        <v>382</v>
      </c>
      <c r="B422" s="3" t="s">
        <v>377</v>
      </c>
      <c r="C422" s="3" t="s">
        <v>168</v>
      </c>
    </row>
    <row r="423" spans="1:3" ht="15" x14ac:dyDescent="0.25">
      <c r="A423" s="3" t="s">
        <v>162</v>
      </c>
      <c r="B423" s="3" t="s">
        <v>377</v>
      </c>
      <c r="C423" s="3" t="s">
        <v>168</v>
      </c>
    </row>
    <row r="424" spans="1:3" ht="15" x14ac:dyDescent="0.25">
      <c r="A424" s="3" t="s">
        <v>383</v>
      </c>
      <c r="B424" s="3" t="s">
        <v>377</v>
      </c>
      <c r="C424" s="3" t="s">
        <v>168</v>
      </c>
    </row>
    <row r="425" spans="1:3" ht="15" x14ac:dyDescent="0.25">
      <c r="A425" s="3" t="s">
        <v>384</v>
      </c>
      <c r="B425" s="3" t="s">
        <v>377</v>
      </c>
      <c r="C425" s="3" t="s">
        <v>168</v>
      </c>
    </row>
    <row r="426" spans="1:3" ht="15" x14ac:dyDescent="0.25">
      <c r="A426" s="3" t="s">
        <v>376</v>
      </c>
      <c r="B426" s="3" t="s">
        <v>377</v>
      </c>
      <c r="C426" s="3" t="s">
        <v>168</v>
      </c>
    </row>
    <row r="427" spans="1:3" ht="15" x14ac:dyDescent="0.25">
      <c r="A427" s="3" t="s">
        <v>368</v>
      </c>
      <c r="B427" s="3" t="s">
        <v>377</v>
      </c>
      <c r="C427" s="3" t="s">
        <v>168</v>
      </c>
    </row>
    <row r="428" spans="1:3" ht="15" x14ac:dyDescent="0.25">
      <c r="A428" s="3" t="s">
        <v>205</v>
      </c>
      <c r="B428" s="3" t="s">
        <v>385</v>
      </c>
      <c r="C428" s="3" t="s">
        <v>386</v>
      </c>
    </row>
    <row r="429" spans="1:3" ht="15" x14ac:dyDescent="0.25">
      <c r="A429" s="3" t="s">
        <v>207</v>
      </c>
      <c r="B429" s="3" t="s">
        <v>385</v>
      </c>
      <c r="C429" s="3" t="s">
        <v>386</v>
      </c>
    </row>
    <row r="430" spans="1:3" ht="15" x14ac:dyDescent="0.25">
      <c r="A430" s="3" t="s">
        <v>183</v>
      </c>
      <c r="B430" s="3" t="s">
        <v>385</v>
      </c>
      <c r="C430" s="3" t="s">
        <v>386</v>
      </c>
    </row>
    <row r="431" spans="1:3" ht="15" x14ac:dyDescent="0.25">
      <c r="A431" s="3" t="s">
        <v>185</v>
      </c>
      <c r="B431" s="3" t="s">
        <v>385</v>
      </c>
      <c r="C431" s="3" t="s">
        <v>386</v>
      </c>
    </row>
    <row r="432" spans="1:3" ht="15" x14ac:dyDescent="0.25">
      <c r="A432" s="3" t="s">
        <v>186</v>
      </c>
      <c r="B432" s="3" t="s">
        <v>385</v>
      </c>
      <c r="C432" s="3" t="s">
        <v>386</v>
      </c>
    </row>
    <row r="433" spans="1:3" ht="15" x14ac:dyDescent="0.25">
      <c r="A433" s="3" t="s">
        <v>187</v>
      </c>
      <c r="B433" s="3" t="s">
        <v>385</v>
      </c>
      <c r="C433" s="3" t="s">
        <v>386</v>
      </c>
    </row>
    <row r="434" spans="1:3" ht="15" x14ac:dyDescent="0.25">
      <c r="A434" s="3" t="s">
        <v>209</v>
      </c>
      <c r="B434" s="3" t="s">
        <v>385</v>
      </c>
      <c r="C434" s="3" t="s">
        <v>386</v>
      </c>
    </row>
    <row r="435" spans="1:3" ht="15" x14ac:dyDescent="0.25">
      <c r="A435" s="3" t="s">
        <v>188</v>
      </c>
      <c r="B435" s="3" t="s">
        <v>385</v>
      </c>
      <c r="C435" s="3" t="s">
        <v>386</v>
      </c>
    </row>
    <row r="436" spans="1:3" ht="15" x14ac:dyDescent="0.25">
      <c r="A436" s="3" t="s">
        <v>4</v>
      </c>
      <c r="B436" s="3" t="s">
        <v>385</v>
      </c>
      <c r="C436" s="3" t="s">
        <v>386</v>
      </c>
    </row>
    <row r="437" spans="1:3" ht="15" x14ac:dyDescent="0.25">
      <c r="A437" s="3" t="s">
        <v>189</v>
      </c>
      <c r="B437" s="3" t="s">
        <v>385</v>
      </c>
      <c r="C437" s="3" t="s">
        <v>386</v>
      </c>
    </row>
    <row r="438" spans="1:3" ht="15" x14ac:dyDescent="0.25">
      <c r="A438" s="3" t="s">
        <v>210</v>
      </c>
      <c r="B438" s="3" t="s">
        <v>385</v>
      </c>
      <c r="C438" s="3" t="s">
        <v>386</v>
      </c>
    </row>
    <row r="439" spans="1:3" ht="15" x14ac:dyDescent="0.25">
      <c r="A439" s="3" t="s">
        <v>190</v>
      </c>
      <c r="B439" s="3" t="s">
        <v>385</v>
      </c>
      <c r="C439" s="3" t="s">
        <v>386</v>
      </c>
    </row>
    <row r="440" spans="1:3" ht="15" x14ac:dyDescent="0.25">
      <c r="A440" s="3" t="s">
        <v>211</v>
      </c>
      <c r="B440" s="3" t="s">
        <v>385</v>
      </c>
      <c r="C440" s="3" t="s">
        <v>386</v>
      </c>
    </row>
    <row r="441" spans="1:3" ht="15" x14ac:dyDescent="0.25">
      <c r="A441" s="3" t="s">
        <v>212</v>
      </c>
      <c r="B441" s="3" t="s">
        <v>385</v>
      </c>
      <c r="C441" s="3" t="s">
        <v>386</v>
      </c>
    </row>
    <row r="442" spans="1:3" ht="15" x14ac:dyDescent="0.25">
      <c r="A442" s="3" t="s">
        <v>16</v>
      </c>
      <c r="B442" s="3" t="s">
        <v>385</v>
      </c>
      <c r="C442" s="3" t="s">
        <v>386</v>
      </c>
    </row>
    <row r="443" spans="1:3" ht="15" x14ac:dyDescent="0.25">
      <c r="A443" s="3" t="s">
        <v>133</v>
      </c>
      <c r="B443" s="3" t="s">
        <v>385</v>
      </c>
      <c r="C443" s="3" t="s">
        <v>386</v>
      </c>
    </row>
    <row r="444" spans="1:3" ht="15" x14ac:dyDescent="0.25">
      <c r="A444" s="3" t="s">
        <v>20</v>
      </c>
      <c r="B444" s="3" t="s">
        <v>385</v>
      </c>
      <c r="C444" s="3" t="s">
        <v>386</v>
      </c>
    </row>
    <row r="445" spans="1:3" ht="15" x14ac:dyDescent="0.25">
      <c r="A445" s="3" t="s">
        <v>214</v>
      </c>
      <c r="B445" s="3" t="s">
        <v>385</v>
      </c>
      <c r="C445" s="3" t="s">
        <v>386</v>
      </c>
    </row>
    <row r="446" spans="1:3" ht="15" x14ac:dyDescent="0.25">
      <c r="A446" s="3" t="s">
        <v>25</v>
      </c>
      <c r="B446" s="3" t="s">
        <v>385</v>
      </c>
      <c r="C446" s="3" t="s">
        <v>386</v>
      </c>
    </row>
    <row r="447" spans="1:3" ht="15" x14ac:dyDescent="0.25">
      <c r="A447" s="3" t="s">
        <v>216</v>
      </c>
      <c r="B447" s="3" t="s">
        <v>385</v>
      </c>
      <c r="C447" s="3" t="s">
        <v>386</v>
      </c>
    </row>
    <row r="448" spans="1:3" ht="15" x14ac:dyDescent="0.25">
      <c r="A448" s="3" t="s">
        <v>139</v>
      </c>
      <c r="B448" s="3" t="s">
        <v>385</v>
      </c>
      <c r="C448" s="3" t="s">
        <v>386</v>
      </c>
    </row>
    <row r="449" spans="1:3" ht="15" x14ac:dyDescent="0.25">
      <c r="A449" s="3" t="s">
        <v>217</v>
      </c>
      <c r="B449" s="3" t="s">
        <v>385</v>
      </c>
      <c r="C449" s="3" t="s">
        <v>386</v>
      </c>
    </row>
    <row r="450" spans="1:3" ht="15" x14ac:dyDescent="0.25">
      <c r="A450" s="3" t="s">
        <v>191</v>
      </c>
      <c r="B450" s="3" t="s">
        <v>385</v>
      </c>
      <c r="C450" s="3" t="s">
        <v>386</v>
      </c>
    </row>
    <row r="451" spans="1:3" ht="15" x14ac:dyDescent="0.25">
      <c r="A451" s="3" t="s">
        <v>7</v>
      </c>
      <c r="B451" s="3" t="s">
        <v>385</v>
      </c>
      <c r="C451" s="3" t="s">
        <v>386</v>
      </c>
    </row>
    <row r="452" spans="1:3" ht="15" x14ac:dyDescent="0.25">
      <c r="A452" s="3" t="s">
        <v>193</v>
      </c>
      <c r="B452" s="3" t="s">
        <v>385</v>
      </c>
      <c r="C452" s="3" t="s">
        <v>386</v>
      </c>
    </row>
    <row r="453" spans="1:3" ht="15" x14ac:dyDescent="0.25">
      <c r="A453" s="3" t="s">
        <v>194</v>
      </c>
      <c r="B453" s="3" t="s">
        <v>385</v>
      </c>
      <c r="C453" s="3" t="s">
        <v>386</v>
      </c>
    </row>
    <row r="454" spans="1:3" ht="15" x14ac:dyDescent="0.25">
      <c r="A454" s="3" t="s">
        <v>195</v>
      </c>
      <c r="B454" s="3" t="s">
        <v>385</v>
      </c>
      <c r="C454" s="3" t="s">
        <v>386</v>
      </c>
    </row>
    <row r="455" spans="1:3" ht="15" x14ac:dyDescent="0.25">
      <c r="A455" s="3" t="s">
        <v>146</v>
      </c>
      <c r="B455" s="3" t="s">
        <v>385</v>
      </c>
      <c r="C455" s="3" t="s">
        <v>386</v>
      </c>
    </row>
    <row r="456" spans="1:3" ht="15" x14ac:dyDescent="0.25">
      <c r="A456" s="3" t="s">
        <v>196</v>
      </c>
      <c r="B456" s="3" t="s">
        <v>385</v>
      </c>
      <c r="C456" s="3" t="s">
        <v>386</v>
      </c>
    </row>
    <row r="457" spans="1:3" ht="15" x14ac:dyDescent="0.25">
      <c r="A457" s="3" t="s">
        <v>43</v>
      </c>
      <c r="B457" s="3" t="s">
        <v>385</v>
      </c>
      <c r="C457" s="3" t="s">
        <v>386</v>
      </c>
    </row>
    <row r="458" spans="1:3" ht="15" x14ac:dyDescent="0.25">
      <c r="A458" s="3" t="s">
        <v>197</v>
      </c>
      <c r="B458" s="3" t="s">
        <v>385</v>
      </c>
      <c r="C458" s="3" t="s">
        <v>386</v>
      </c>
    </row>
    <row r="459" spans="1:3" ht="15" x14ac:dyDescent="0.25">
      <c r="A459" s="3" t="s">
        <v>198</v>
      </c>
      <c r="B459" s="3" t="s">
        <v>385</v>
      </c>
      <c r="C459" s="3" t="s">
        <v>386</v>
      </c>
    </row>
    <row r="460" spans="1:3" ht="15" x14ac:dyDescent="0.25">
      <c r="A460" s="3" t="s">
        <v>49</v>
      </c>
      <c r="B460" s="3" t="s">
        <v>385</v>
      </c>
      <c r="C460" s="3" t="s">
        <v>386</v>
      </c>
    </row>
    <row r="461" spans="1:3" ht="15" x14ac:dyDescent="0.25">
      <c r="A461" s="3" t="s">
        <v>199</v>
      </c>
      <c r="B461" s="3" t="s">
        <v>385</v>
      </c>
      <c r="C461" s="3" t="s">
        <v>386</v>
      </c>
    </row>
    <row r="462" spans="1:3" ht="15" x14ac:dyDescent="0.25">
      <c r="A462" s="3" t="s">
        <v>220</v>
      </c>
      <c r="B462" s="3" t="s">
        <v>385</v>
      </c>
      <c r="C462" s="3" t="s">
        <v>386</v>
      </c>
    </row>
    <row r="463" spans="1:3" ht="15" x14ac:dyDescent="0.25">
      <c r="A463" s="3" t="s">
        <v>175</v>
      </c>
      <c r="B463" s="3" t="s">
        <v>385</v>
      </c>
      <c r="C463" s="3" t="s">
        <v>386</v>
      </c>
    </row>
    <row r="464" spans="1:3" ht="15" x14ac:dyDescent="0.25">
      <c r="A464" s="3" t="s">
        <v>221</v>
      </c>
      <c r="B464" s="3" t="s">
        <v>385</v>
      </c>
      <c r="C464" s="3" t="s">
        <v>386</v>
      </c>
    </row>
    <row r="465" spans="1:3" ht="15" x14ac:dyDescent="0.25">
      <c r="A465" s="3" t="s">
        <v>222</v>
      </c>
      <c r="B465" s="3" t="s">
        <v>385</v>
      </c>
      <c r="C465" s="3" t="s">
        <v>386</v>
      </c>
    </row>
    <row r="466" spans="1:3" ht="15" x14ac:dyDescent="0.25">
      <c r="A466" s="3" t="s">
        <v>200</v>
      </c>
      <c r="B466" s="3" t="s">
        <v>385</v>
      </c>
      <c r="C466" s="3" t="s">
        <v>386</v>
      </c>
    </row>
    <row r="467" spans="1:3" ht="15" x14ac:dyDescent="0.25">
      <c r="A467" s="3" t="s">
        <v>149</v>
      </c>
      <c r="B467" s="3" t="s">
        <v>385</v>
      </c>
      <c r="C467" s="3" t="s">
        <v>386</v>
      </c>
    </row>
    <row r="468" spans="1:3" ht="15" x14ac:dyDescent="0.25">
      <c r="A468" s="3" t="s">
        <v>223</v>
      </c>
      <c r="B468" s="3" t="s">
        <v>385</v>
      </c>
      <c r="C468" s="3" t="s">
        <v>386</v>
      </c>
    </row>
    <row r="469" spans="1:3" ht="15" x14ac:dyDescent="0.25">
      <c r="A469" s="3" t="s">
        <v>150</v>
      </c>
      <c r="B469" s="3" t="s">
        <v>385</v>
      </c>
      <c r="C469" s="3" t="s">
        <v>386</v>
      </c>
    </row>
    <row r="470" spans="1:3" ht="15" x14ac:dyDescent="0.25">
      <c r="A470" s="3" t="s">
        <v>55</v>
      </c>
      <c r="B470" s="3" t="s">
        <v>385</v>
      </c>
      <c r="C470" s="3" t="s">
        <v>386</v>
      </c>
    </row>
    <row r="471" spans="1:3" ht="15" x14ac:dyDescent="0.25">
      <c r="A471" s="3" t="s">
        <v>154</v>
      </c>
      <c r="B471" s="3" t="s">
        <v>385</v>
      </c>
      <c r="C471" s="3" t="s">
        <v>386</v>
      </c>
    </row>
    <row r="472" spans="1:3" ht="15" x14ac:dyDescent="0.25">
      <c r="A472" s="3" t="s">
        <v>224</v>
      </c>
      <c r="B472" s="3" t="s">
        <v>385</v>
      </c>
      <c r="C472" s="3" t="s">
        <v>386</v>
      </c>
    </row>
    <row r="473" spans="1:3" ht="15" x14ac:dyDescent="0.25">
      <c r="A473" s="3" t="s">
        <v>112</v>
      </c>
      <c r="B473" s="3" t="s">
        <v>385</v>
      </c>
      <c r="C473" s="3" t="s">
        <v>386</v>
      </c>
    </row>
    <row r="474" spans="1:3" ht="15" x14ac:dyDescent="0.25">
      <c r="A474" s="3" t="s">
        <v>67</v>
      </c>
      <c r="B474" s="3" t="s">
        <v>385</v>
      </c>
      <c r="C474" s="3" t="s">
        <v>386</v>
      </c>
    </row>
    <row r="475" spans="1:3" ht="15" x14ac:dyDescent="0.25">
      <c r="A475" s="3" t="s">
        <v>201</v>
      </c>
      <c r="B475" s="3" t="s">
        <v>385</v>
      </c>
      <c r="C475" s="3" t="s">
        <v>386</v>
      </c>
    </row>
    <row r="476" spans="1:3" ht="15" x14ac:dyDescent="0.25">
      <c r="A476" s="3" t="s">
        <v>225</v>
      </c>
      <c r="B476" s="3" t="s">
        <v>385</v>
      </c>
      <c r="C476" s="3" t="s">
        <v>386</v>
      </c>
    </row>
    <row r="477" spans="1:3" ht="15" x14ac:dyDescent="0.25">
      <c r="A477" s="3" t="s">
        <v>226</v>
      </c>
      <c r="B477" s="3" t="s">
        <v>385</v>
      </c>
      <c r="C477" s="3" t="s">
        <v>386</v>
      </c>
    </row>
    <row r="478" spans="1:3" ht="15" x14ac:dyDescent="0.25">
      <c r="A478" s="3" t="s">
        <v>89</v>
      </c>
      <c r="B478" s="3" t="s">
        <v>385</v>
      </c>
      <c r="C478" s="3" t="s">
        <v>386</v>
      </c>
    </row>
    <row r="479" spans="1:3" ht="15" x14ac:dyDescent="0.25">
      <c r="A479" s="3" t="s">
        <v>160</v>
      </c>
      <c r="B479" s="3" t="s">
        <v>385</v>
      </c>
      <c r="C479" s="3" t="s">
        <v>386</v>
      </c>
    </row>
    <row r="480" spans="1:3" ht="15" x14ac:dyDescent="0.25">
      <c r="A480" s="3" t="s">
        <v>92</v>
      </c>
      <c r="B480" s="3" t="s">
        <v>385</v>
      </c>
      <c r="C480" s="3" t="s">
        <v>386</v>
      </c>
    </row>
    <row r="481" spans="1:3" ht="15" x14ac:dyDescent="0.25">
      <c r="A481" s="3" t="s">
        <v>117</v>
      </c>
      <c r="B481" s="3" t="s">
        <v>385</v>
      </c>
      <c r="C481" s="3" t="s">
        <v>386</v>
      </c>
    </row>
    <row r="482" spans="1:3" ht="15" x14ac:dyDescent="0.25">
      <c r="A482" s="3" t="s">
        <v>202</v>
      </c>
      <c r="B482" s="3" t="s">
        <v>385</v>
      </c>
      <c r="C482" s="3" t="s">
        <v>386</v>
      </c>
    </row>
    <row r="483" spans="1:3" ht="15" x14ac:dyDescent="0.25">
      <c r="A483" s="3" t="s">
        <v>118</v>
      </c>
      <c r="B483" s="3" t="s">
        <v>385</v>
      </c>
      <c r="C483" s="3" t="s">
        <v>386</v>
      </c>
    </row>
    <row r="484" spans="1:3" ht="15" x14ac:dyDescent="0.25">
      <c r="A484" s="3" t="s">
        <v>227</v>
      </c>
      <c r="B484" s="3" t="s">
        <v>385</v>
      </c>
      <c r="C484" s="3" t="s">
        <v>386</v>
      </c>
    </row>
    <row r="485" spans="1:3" ht="15" x14ac:dyDescent="0.25">
      <c r="A485" s="3" t="s">
        <v>203</v>
      </c>
      <c r="B485" s="3" t="s">
        <v>385</v>
      </c>
      <c r="C485" s="3" t="s">
        <v>386</v>
      </c>
    </row>
    <row r="486" spans="1:3" ht="15" x14ac:dyDescent="0.25">
      <c r="A486" s="3" t="s">
        <v>228</v>
      </c>
      <c r="B486" s="3" t="s">
        <v>385</v>
      </c>
      <c r="C486" s="3" t="s">
        <v>386</v>
      </c>
    </row>
    <row r="487" spans="1:3" ht="15" x14ac:dyDescent="0.25">
      <c r="A487" s="3" t="s">
        <v>230</v>
      </c>
      <c r="B487" s="3" t="s">
        <v>385</v>
      </c>
      <c r="C487" s="3" t="s">
        <v>386</v>
      </c>
    </row>
    <row r="488" spans="1:3" ht="15" x14ac:dyDescent="0.25">
      <c r="A488" s="3" t="s">
        <v>231</v>
      </c>
      <c r="B488" s="3" t="s">
        <v>385</v>
      </c>
      <c r="C488" s="3" t="s">
        <v>386</v>
      </c>
    </row>
    <row r="489" spans="1:3" ht="15" x14ac:dyDescent="0.25">
      <c r="A489" s="3" t="s">
        <v>204</v>
      </c>
      <c r="B489" s="3" t="s">
        <v>385</v>
      </c>
      <c r="C489" s="3" t="s">
        <v>386</v>
      </c>
    </row>
    <row r="490" spans="1:3" ht="15" x14ac:dyDescent="0.25">
      <c r="A490" s="3" t="s">
        <v>205</v>
      </c>
      <c r="B490" s="3" t="s">
        <v>387</v>
      </c>
      <c r="C490" s="3" t="s">
        <v>105</v>
      </c>
    </row>
    <row r="491" spans="1:3" ht="15" x14ac:dyDescent="0.25">
      <c r="A491" s="3" t="s">
        <v>124</v>
      </c>
      <c r="B491" s="3" t="s">
        <v>387</v>
      </c>
      <c r="C491" s="3" t="s">
        <v>105</v>
      </c>
    </row>
    <row r="492" spans="1:3" ht="15" x14ac:dyDescent="0.25">
      <c r="A492" s="3" t="s">
        <v>281</v>
      </c>
      <c r="B492" s="3" t="s">
        <v>387</v>
      </c>
      <c r="C492" s="3" t="s">
        <v>105</v>
      </c>
    </row>
    <row r="493" spans="1:3" ht="15" x14ac:dyDescent="0.25">
      <c r="A493" s="3" t="s">
        <v>13</v>
      </c>
      <c r="B493" s="3" t="s">
        <v>387</v>
      </c>
      <c r="C493" s="3" t="s">
        <v>105</v>
      </c>
    </row>
    <row r="494" spans="1:3" ht="15" x14ac:dyDescent="0.25">
      <c r="A494" s="3" t="s">
        <v>388</v>
      </c>
      <c r="B494" s="3" t="s">
        <v>387</v>
      </c>
      <c r="C494" s="3" t="s">
        <v>105</v>
      </c>
    </row>
    <row r="495" spans="1:3" ht="15" x14ac:dyDescent="0.25">
      <c r="A495" s="3" t="s">
        <v>239</v>
      </c>
      <c r="B495" s="3" t="s">
        <v>387</v>
      </c>
      <c r="C495" s="3" t="s">
        <v>105</v>
      </c>
    </row>
    <row r="496" spans="1:3" ht="15" x14ac:dyDescent="0.25">
      <c r="A496" s="3" t="s">
        <v>389</v>
      </c>
      <c r="B496" s="3" t="s">
        <v>387</v>
      </c>
      <c r="C496" s="3" t="s">
        <v>105</v>
      </c>
    </row>
    <row r="497" spans="1:3" ht="15" x14ac:dyDescent="0.25">
      <c r="A497" s="3" t="s">
        <v>218</v>
      </c>
      <c r="B497" s="3" t="s">
        <v>387</v>
      </c>
      <c r="C497" s="3" t="s">
        <v>105</v>
      </c>
    </row>
    <row r="498" spans="1:3" ht="15" x14ac:dyDescent="0.25">
      <c r="A498" s="3" t="s">
        <v>139</v>
      </c>
      <c r="B498" s="3" t="s">
        <v>387</v>
      </c>
      <c r="C498" s="3" t="s">
        <v>105</v>
      </c>
    </row>
    <row r="499" spans="1:3" ht="15" x14ac:dyDescent="0.25">
      <c r="A499" s="3" t="s">
        <v>217</v>
      </c>
      <c r="B499" s="3" t="s">
        <v>387</v>
      </c>
      <c r="C499" s="3" t="s">
        <v>105</v>
      </c>
    </row>
    <row r="500" spans="1:3" ht="15" x14ac:dyDescent="0.25">
      <c r="A500" s="3" t="s">
        <v>302</v>
      </c>
      <c r="B500" s="3" t="s">
        <v>387</v>
      </c>
      <c r="C500" s="3" t="s">
        <v>105</v>
      </c>
    </row>
    <row r="501" spans="1:3" ht="15" x14ac:dyDescent="0.25">
      <c r="A501" s="3" t="s">
        <v>350</v>
      </c>
      <c r="B501" s="3" t="s">
        <v>387</v>
      </c>
      <c r="C501" s="3" t="s">
        <v>105</v>
      </c>
    </row>
    <row r="502" spans="1:3" ht="15" x14ac:dyDescent="0.25">
      <c r="A502" s="3" t="s">
        <v>305</v>
      </c>
      <c r="B502" s="3" t="s">
        <v>387</v>
      </c>
      <c r="C502" s="3" t="s">
        <v>105</v>
      </c>
    </row>
    <row r="503" spans="1:3" ht="15" x14ac:dyDescent="0.25">
      <c r="A503" s="3" t="s">
        <v>221</v>
      </c>
      <c r="B503" s="3" t="s">
        <v>387</v>
      </c>
      <c r="C503" s="3" t="s">
        <v>105</v>
      </c>
    </row>
    <row r="504" spans="1:3" ht="15" x14ac:dyDescent="0.25">
      <c r="A504" s="3" t="s">
        <v>177</v>
      </c>
      <c r="B504" s="3" t="s">
        <v>387</v>
      </c>
      <c r="C504" s="3" t="s">
        <v>105</v>
      </c>
    </row>
    <row r="505" spans="1:3" ht="15" x14ac:dyDescent="0.25">
      <c r="A505" s="3" t="s">
        <v>337</v>
      </c>
      <c r="B505" s="3" t="s">
        <v>387</v>
      </c>
      <c r="C505" s="3" t="s">
        <v>105</v>
      </c>
    </row>
    <row r="506" spans="1:3" ht="15" x14ac:dyDescent="0.25">
      <c r="A506" s="3" t="s">
        <v>318</v>
      </c>
      <c r="B506" s="3" t="s">
        <v>387</v>
      </c>
      <c r="C506" s="3" t="s">
        <v>105</v>
      </c>
    </row>
    <row r="507" spans="1:3" ht="15" x14ac:dyDescent="0.25">
      <c r="A507" s="3" t="s">
        <v>111</v>
      </c>
      <c r="B507" s="3" t="s">
        <v>387</v>
      </c>
      <c r="C507" s="3" t="s">
        <v>105</v>
      </c>
    </row>
    <row r="508" spans="1:3" ht="15" x14ac:dyDescent="0.25">
      <c r="A508" s="3" t="s">
        <v>390</v>
      </c>
      <c r="B508" s="3" t="s">
        <v>387</v>
      </c>
      <c r="C508" s="3" t="s">
        <v>105</v>
      </c>
    </row>
    <row r="509" spans="1:3" ht="15" x14ac:dyDescent="0.25">
      <c r="A509" s="3" t="s">
        <v>67</v>
      </c>
      <c r="B509" s="3" t="s">
        <v>387</v>
      </c>
      <c r="C509" s="3" t="s">
        <v>105</v>
      </c>
    </row>
    <row r="510" spans="1:3" ht="15" x14ac:dyDescent="0.25">
      <c r="A510" s="3" t="s">
        <v>72</v>
      </c>
      <c r="B510" s="3" t="s">
        <v>387</v>
      </c>
      <c r="C510" s="3" t="s">
        <v>105</v>
      </c>
    </row>
    <row r="511" spans="1:3" ht="15" x14ac:dyDescent="0.25">
      <c r="A511" s="3" t="s">
        <v>265</v>
      </c>
      <c r="B511" s="3" t="s">
        <v>387</v>
      </c>
      <c r="C511" s="3" t="s">
        <v>105</v>
      </c>
    </row>
    <row r="512" spans="1:3" ht="15" x14ac:dyDescent="0.25">
      <c r="A512" s="3" t="s">
        <v>391</v>
      </c>
      <c r="B512" s="3" t="s">
        <v>387</v>
      </c>
      <c r="C512" s="3" t="s">
        <v>105</v>
      </c>
    </row>
    <row r="513" spans="1:3" ht="15" x14ac:dyDescent="0.25">
      <c r="A513" s="3" t="s">
        <v>94</v>
      </c>
      <c r="B513" s="3" t="s">
        <v>387</v>
      </c>
      <c r="C513" s="3" t="s">
        <v>105</v>
      </c>
    </row>
    <row r="514" spans="1:3" ht="15" x14ac:dyDescent="0.25">
      <c r="A514" s="3" t="s">
        <v>327</v>
      </c>
      <c r="B514" s="3" t="s">
        <v>387</v>
      </c>
      <c r="C514" s="3" t="s">
        <v>105</v>
      </c>
    </row>
    <row r="515" spans="1:3" ht="15" x14ac:dyDescent="0.25">
      <c r="A515" s="3" t="s">
        <v>162</v>
      </c>
      <c r="B515" s="3" t="s">
        <v>387</v>
      </c>
      <c r="C515" s="3" t="s">
        <v>105</v>
      </c>
    </row>
    <row r="516" spans="1:3" ht="15" x14ac:dyDescent="0.25">
      <c r="A516" s="3" t="s">
        <v>376</v>
      </c>
      <c r="B516" s="3" t="s">
        <v>387</v>
      </c>
      <c r="C516" s="3" t="s">
        <v>105</v>
      </c>
    </row>
    <row r="517" spans="1:3" ht="15" x14ac:dyDescent="0.25">
      <c r="A517" s="3" t="s">
        <v>103</v>
      </c>
      <c r="B517" s="3" t="s">
        <v>392</v>
      </c>
      <c r="C517" s="3" t="s">
        <v>105</v>
      </c>
    </row>
    <row r="518" spans="1:3" ht="15" x14ac:dyDescent="0.25">
      <c r="A518" s="3" t="s">
        <v>359</v>
      </c>
      <c r="B518" s="3" t="s">
        <v>392</v>
      </c>
      <c r="C518" s="3" t="s">
        <v>105</v>
      </c>
    </row>
    <row r="519" spans="1:3" ht="15" x14ac:dyDescent="0.25">
      <c r="A519" s="3" t="s">
        <v>258</v>
      </c>
      <c r="B519" s="3" t="s">
        <v>392</v>
      </c>
      <c r="C519" s="3" t="s">
        <v>105</v>
      </c>
    </row>
    <row r="520" spans="1:3" ht="15" x14ac:dyDescent="0.25">
      <c r="A520" s="3" t="s">
        <v>378</v>
      </c>
      <c r="B520" s="3" t="s">
        <v>392</v>
      </c>
      <c r="C520" s="3" t="s">
        <v>105</v>
      </c>
    </row>
    <row r="521" spans="1:3" ht="15" x14ac:dyDescent="0.25">
      <c r="A521" s="3" t="s">
        <v>242</v>
      </c>
      <c r="B521" s="3" t="s">
        <v>392</v>
      </c>
      <c r="C521" s="3" t="s">
        <v>105</v>
      </c>
    </row>
    <row r="522" spans="1:3" ht="15" x14ac:dyDescent="0.25">
      <c r="A522" s="3" t="s">
        <v>36</v>
      </c>
      <c r="B522" s="3" t="s">
        <v>392</v>
      </c>
      <c r="C522" s="3" t="s">
        <v>105</v>
      </c>
    </row>
    <row r="523" spans="1:3" ht="15" x14ac:dyDescent="0.25">
      <c r="A523" s="3" t="s">
        <v>196</v>
      </c>
      <c r="B523" s="3" t="s">
        <v>392</v>
      </c>
      <c r="C523" s="3" t="s">
        <v>105</v>
      </c>
    </row>
    <row r="524" spans="1:3" ht="15" x14ac:dyDescent="0.25">
      <c r="A524" s="3" t="s">
        <v>393</v>
      </c>
      <c r="B524" s="3" t="s">
        <v>392</v>
      </c>
      <c r="C524" s="3" t="s">
        <v>105</v>
      </c>
    </row>
    <row r="525" spans="1:3" ht="15" x14ac:dyDescent="0.25">
      <c r="A525" s="3" t="s">
        <v>200</v>
      </c>
      <c r="B525" s="3" t="s">
        <v>392</v>
      </c>
      <c r="C525" s="3" t="s">
        <v>105</v>
      </c>
    </row>
    <row r="526" spans="1:3" ht="15" x14ac:dyDescent="0.25">
      <c r="A526" s="3" t="s">
        <v>180</v>
      </c>
      <c r="B526" s="3" t="s">
        <v>392</v>
      </c>
      <c r="C526" s="3" t="s">
        <v>105</v>
      </c>
    </row>
    <row r="527" spans="1:3" ht="15" x14ac:dyDescent="0.25">
      <c r="A527" s="3" t="s">
        <v>215</v>
      </c>
      <c r="B527" s="3" t="s">
        <v>392</v>
      </c>
      <c r="C527" s="3" t="s">
        <v>105</v>
      </c>
    </row>
    <row r="528" spans="1:3" ht="15" x14ac:dyDescent="0.25">
      <c r="A528" s="3" t="s">
        <v>55</v>
      </c>
      <c r="B528" s="3" t="s">
        <v>392</v>
      </c>
      <c r="C528" s="3" t="s">
        <v>105</v>
      </c>
    </row>
    <row r="529" spans="1:3" ht="15" x14ac:dyDescent="0.25">
      <c r="A529" s="3" t="s">
        <v>306</v>
      </c>
      <c r="B529" s="3" t="s">
        <v>392</v>
      </c>
      <c r="C529" s="3" t="s">
        <v>105</v>
      </c>
    </row>
    <row r="530" spans="1:3" ht="15" x14ac:dyDescent="0.25">
      <c r="A530" s="3" t="s">
        <v>232</v>
      </c>
      <c r="B530" s="3" t="s">
        <v>392</v>
      </c>
      <c r="C530" s="3" t="s">
        <v>105</v>
      </c>
    </row>
    <row r="531" spans="1:3" ht="15" x14ac:dyDescent="0.25">
      <c r="A531" s="3" t="s">
        <v>116</v>
      </c>
      <c r="B531" s="3" t="s">
        <v>392</v>
      </c>
      <c r="C531" s="3" t="s">
        <v>105</v>
      </c>
    </row>
    <row r="532" spans="1:3" ht="15" x14ac:dyDescent="0.25">
      <c r="A532" s="3" t="s">
        <v>91</v>
      </c>
      <c r="B532" s="3" t="s">
        <v>392</v>
      </c>
      <c r="C532" s="3" t="s">
        <v>105</v>
      </c>
    </row>
    <row r="533" spans="1:3" ht="15" x14ac:dyDescent="0.25">
      <c r="A533" s="3" t="s">
        <v>368</v>
      </c>
      <c r="B533" s="3" t="s">
        <v>392</v>
      </c>
      <c r="C533" s="3" t="s">
        <v>105</v>
      </c>
    </row>
    <row r="534" spans="1:3" ht="15" x14ac:dyDescent="0.25">
      <c r="A534" s="3" t="s">
        <v>330</v>
      </c>
      <c r="B534" s="3" t="s">
        <v>392</v>
      </c>
      <c r="C534" s="3" t="s">
        <v>105</v>
      </c>
    </row>
    <row r="535" spans="1:3" ht="15" x14ac:dyDescent="0.25">
      <c r="A535" s="3" t="s">
        <v>120</v>
      </c>
      <c r="B535" s="3" t="s">
        <v>392</v>
      </c>
      <c r="C535" s="3" t="s">
        <v>105</v>
      </c>
    </row>
    <row r="536" spans="1:3" ht="15" x14ac:dyDescent="0.25">
      <c r="A536" s="3" t="s">
        <v>237</v>
      </c>
      <c r="B536" s="3" t="s">
        <v>394</v>
      </c>
      <c r="C536" s="3" t="s">
        <v>105</v>
      </c>
    </row>
    <row r="537" spans="1:3" ht="15" x14ac:dyDescent="0.25">
      <c r="A537" s="3" t="s">
        <v>291</v>
      </c>
      <c r="B537" s="3" t="s">
        <v>394</v>
      </c>
      <c r="C537" s="3" t="s">
        <v>105</v>
      </c>
    </row>
    <row r="538" spans="1:3" ht="15" x14ac:dyDescent="0.25">
      <c r="A538" s="3" t="s">
        <v>293</v>
      </c>
      <c r="B538" s="3" t="s">
        <v>394</v>
      </c>
      <c r="C538" s="3" t="s">
        <v>105</v>
      </c>
    </row>
    <row r="539" spans="1:3" ht="15" x14ac:dyDescent="0.25">
      <c r="A539" s="3" t="s">
        <v>296</v>
      </c>
      <c r="B539" s="3" t="s">
        <v>394</v>
      </c>
      <c r="C539" s="3" t="s">
        <v>105</v>
      </c>
    </row>
    <row r="540" spans="1:3" ht="15" x14ac:dyDescent="0.25">
      <c r="A540" s="3" t="s">
        <v>395</v>
      </c>
      <c r="B540" s="3" t="s">
        <v>394</v>
      </c>
      <c r="C540" s="3" t="s">
        <v>105</v>
      </c>
    </row>
    <row r="541" spans="1:3" ht="15" x14ac:dyDescent="0.25">
      <c r="A541" s="3" t="s">
        <v>214</v>
      </c>
      <c r="B541" s="3" t="s">
        <v>394</v>
      </c>
      <c r="C541" s="3" t="s">
        <v>105</v>
      </c>
    </row>
    <row r="542" spans="1:3" ht="15" x14ac:dyDescent="0.25">
      <c r="A542" s="3" t="s">
        <v>25</v>
      </c>
      <c r="B542" s="3" t="s">
        <v>394</v>
      </c>
      <c r="C542" s="3" t="s">
        <v>105</v>
      </c>
    </row>
    <row r="543" spans="1:3" ht="15" x14ac:dyDescent="0.25">
      <c r="A543" s="3" t="s">
        <v>216</v>
      </c>
      <c r="B543" s="3" t="s">
        <v>394</v>
      </c>
      <c r="C543" s="3" t="s">
        <v>105</v>
      </c>
    </row>
    <row r="544" spans="1:3" ht="15" x14ac:dyDescent="0.25">
      <c r="A544" s="3" t="s">
        <v>33</v>
      </c>
      <c r="B544" s="3" t="s">
        <v>394</v>
      </c>
      <c r="C544" s="3" t="s">
        <v>105</v>
      </c>
    </row>
    <row r="545" spans="1:3" ht="15" x14ac:dyDescent="0.25">
      <c r="A545" s="3" t="s">
        <v>362</v>
      </c>
      <c r="B545" s="3" t="s">
        <v>394</v>
      </c>
      <c r="C545" s="3" t="s">
        <v>105</v>
      </c>
    </row>
    <row r="546" spans="1:3" ht="15" x14ac:dyDescent="0.25">
      <c r="A546" s="3" t="s">
        <v>196</v>
      </c>
      <c r="B546" s="3" t="s">
        <v>394</v>
      </c>
      <c r="C546" s="3" t="s">
        <v>105</v>
      </c>
    </row>
    <row r="547" spans="1:3" ht="15" x14ac:dyDescent="0.25">
      <c r="A547" s="3" t="s">
        <v>141</v>
      </c>
      <c r="B547" s="3" t="s">
        <v>394</v>
      </c>
      <c r="C547" s="3" t="s">
        <v>105</v>
      </c>
    </row>
    <row r="548" spans="1:3" ht="15" x14ac:dyDescent="0.25">
      <c r="A548" s="3" t="s">
        <v>174</v>
      </c>
      <c r="B548" s="3" t="s">
        <v>394</v>
      </c>
      <c r="C548" s="3" t="s">
        <v>105</v>
      </c>
    </row>
    <row r="549" spans="1:3" ht="15" x14ac:dyDescent="0.25">
      <c r="A549" s="3" t="s">
        <v>137</v>
      </c>
      <c r="B549" s="3" t="s">
        <v>394</v>
      </c>
      <c r="C549" s="3" t="s">
        <v>105</v>
      </c>
    </row>
    <row r="550" spans="1:3" ht="15" x14ac:dyDescent="0.25">
      <c r="A550" s="3" t="s">
        <v>340</v>
      </c>
      <c r="B550" s="3" t="s">
        <v>394</v>
      </c>
      <c r="C550" s="3" t="s">
        <v>105</v>
      </c>
    </row>
    <row r="551" spans="1:3" ht="15" x14ac:dyDescent="0.25">
      <c r="A551" s="3" t="s">
        <v>175</v>
      </c>
      <c r="B551" s="3" t="s">
        <v>394</v>
      </c>
      <c r="C551" s="3" t="s">
        <v>105</v>
      </c>
    </row>
    <row r="552" spans="1:3" ht="15" x14ac:dyDescent="0.25">
      <c r="A552" s="3" t="s">
        <v>393</v>
      </c>
      <c r="B552" s="3" t="s">
        <v>394</v>
      </c>
      <c r="C552" s="3" t="s">
        <v>105</v>
      </c>
    </row>
    <row r="553" spans="1:3" ht="15" x14ac:dyDescent="0.25">
      <c r="A553" s="3" t="s">
        <v>200</v>
      </c>
      <c r="B553" s="3" t="s">
        <v>394</v>
      </c>
      <c r="C553" s="3" t="s">
        <v>105</v>
      </c>
    </row>
    <row r="554" spans="1:3" ht="15" x14ac:dyDescent="0.25">
      <c r="A554" s="3" t="s">
        <v>397</v>
      </c>
      <c r="B554" s="3" t="s">
        <v>394</v>
      </c>
      <c r="C554" s="3" t="s">
        <v>105</v>
      </c>
    </row>
    <row r="555" spans="1:3" ht="15" x14ac:dyDescent="0.25">
      <c r="A555" s="3" t="s">
        <v>259</v>
      </c>
      <c r="B555" s="3" t="s">
        <v>394</v>
      </c>
      <c r="C555" s="3" t="s">
        <v>105</v>
      </c>
    </row>
    <row r="556" spans="1:3" ht="15" x14ac:dyDescent="0.25">
      <c r="A556" s="3" t="s">
        <v>317</v>
      </c>
      <c r="B556" s="3" t="s">
        <v>394</v>
      </c>
      <c r="C556" s="3" t="s">
        <v>105</v>
      </c>
    </row>
    <row r="557" spans="1:3" ht="15" x14ac:dyDescent="0.25">
      <c r="A557" s="3" t="s">
        <v>398</v>
      </c>
      <c r="B557" s="3" t="s">
        <v>394</v>
      </c>
      <c r="C557" s="3" t="s">
        <v>105</v>
      </c>
    </row>
    <row r="558" spans="1:3" ht="15" x14ac:dyDescent="0.25">
      <c r="A558" s="3" t="s">
        <v>260</v>
      </c>
      <c r="B558" s="3" t="s">
        <v>394</v>
      </c>
      <c r="C558" s="3" t="s">
        <v>105</v>
      </c>
    </row>
    <row r="559" spans="1:3" ht="15" x14ac:dyDescent="0.25">
      <c r="A559" s="3" t="s">
        <v>300</v>
      </c>
      <c r="B559" s="3" t="s">
        <v>394</v>
      </c>
      <c r="C559" s="3" t="s">
        <v>105</v>
      </c>
    </row>
    <row r="560" spans="1:3" ht="15" x14ac:dyDescent="0.25">
      <c r="A560" s="3" t="s">
        <v>261</v>
      </c>
      <c r="B560" s="3" t="s">
        <v>394</v>
      </c>
      <c r="C560" s="3" t="s">
        <v>105</v>
      </c>
    </row>
    <row r="561" spans="1:3" ht="15" x14ac:dyDescent="0.25">
      <c r="A561" s="3" t="s">
        <v>320</v>
      </c>
      <c r="B561" s="3" t="s">
        <v>394</v>
      </c>
      <c r="C561" s="3" t="s">
        <v>105</v>
      </c>
    </row>
    <row r="562" spans="1:3" ht="15" x14ac:dyDescent="0.25">
      <c r="A562" s="3" t="s">
        <v>263</v>
      </c>
      <c r="B562" s="3" t="s">
        <v>394</v>
      </c>
      <c r="C562" s="3" t="s">
        <v>105</v>
      </c>
    </row>
    <row r="563" spans="1:3" ht="15" x14ac:dyDescent="0.25">
      <c r="A563" s="3" t="s">
        <v>232</v>
      </c>
      <c r="B563" s="3" t="s">
        <v>394</v>
      </c>
      <c r="C563" s="3" t="s">
        <v>105</v>
      </c>
    </row>
    <row r="564" spans="1:3" ht="15" x14ac:dyDescent="0.25">
      <c r="A564" s="3" t="s">
        <v>343</v>
      </c>
      <c r="B564" s="3" t="s">
        <v>394</v>
      </c>
      <c r="C564" s="3" t="s">
        <v>105</v>
      </c>
    </row>
    <row r="565" spans="1:3" ht="15" x14ac:dyDescent="0.25">
      <c r="A565" s="3" t="s">
        <v>323</v>
      </c>
      <c r="B565" s="3" t="s">
        <v>394</v>
      </c>
      <c r="C565" s="3" t="s">
        <v>105</v>
      </c>
    </row>
    <row r="566" spans="1:3" ht="15" x14ac:dyDescent="0.25">
      <c r="A566" s="3" t="s">
        <v>400</v>
      </c>
      <c r="B566" s="3" t="s">
        <v>394</v>
      </c>
      <c r="C566" s="3" t="s">
        <v>105</v>
      </c>
    </row>
    <row r="567" spans="1:3" ht="15" x14ac:dyDescent="0.25">
      <c r="A567" s="3" t="s">
        <v>344</v>
      </c>
      <c r="B567" s="3" t="s">
        <v>394</v>
      </c>
      <c r="C567" s="3" t="s">
        <v>105</v>
      </c>
    </row>
    <row r="568" spans="1:3" ht="15" x14ac:dyDescent="0.25">
      <c r="A568" s="3" t="s">
        <v>91</v>
      </c>
      <c r="B568" s="3" t="s">
        <v>394</v>
      </c>
      <c r="C568" s="3" t="s">
        <v>105</v>
      </c>
    </row>
    <row r="569" spans="1:3" ht="15" x14ac:dyDescent="0.25">
      <c r="A569" s="3" t="s">
        <v>202</v>
      </c>
      <c r="B569" s="3" t="s">
        <v>394</v>
      </c>
      <c r="C569" s="3" t="s">
        <v>105</v>
      </c>
    </row>
    <row r="570" spans="1:3" ht="15" x14ac:dyDescent="0.25">
      <c r="A570" s="3" t="s">
        <v>326</v>
      </c>
      <c r="B570" s="3" t="s">
        <v>394</v>
      </c>
      <c r="C570" s="3" t="s">
        <v>105</v>
      </c>
    </row>
    <row r="571" spans="1:3" ht="15" x14ac:dyDescent="0.25">
      <c r="A571" s="3" t="s">
        <v>270</v>
      </c>
      <c r="B571" s="3" t="s">
        <v>394</v>
      </c>
      <c r="C571" s="3" t="s">
        <v>105</v>
      </c>
    </row>
    <row r="572" spans="1:3" ht="15" x14ac:dyDescent="0.25">
      <c r="A572" s="3" t="s">
        <v>203</v>
      </c>
      <c r="B572" s="3" t="s">
        <v>394</v>
      </c>
      <c r="C572" s="3" t="s">
        <v>105</v>
      </c>
    </row>
    <row r="573" spans="1:3" ht="15" x14ac:dyDescent="0.25">
      <c r="A573" s="3" t="s">
        <v>384</v>
      </c>
      <c r="B573" s="3" t="s">
        <v>394</v>
      </c>
      <c r="C573" s="3" t="s">
        <v>105</v>
      </c>
    </row>
    <row r="574" spans="1:3" ht="15" x14ac:dyDescent="0.25">
      <c r="A574" s="3" t="s">
        <v>330</v>
      </c>
      <c r="B574" s="3" t="s">
        <v>394</v>
      </c>
      <c r="C574" s="3" t="s">
        <v>105</v>
      </c>
    </row>
    <row r="575" spans="1:3" ht="15" x14ac:dyDescent="0.25">
      <c r="A575" s="3" t="s">
        <v>228</v>
      </c>
      <c r="B575" s="3" t="s">
        <v>394</v>
      </c>
      <c r="C575" s="3" t="s">
        <v>105</v>
      </c>
    </row>
    <row r="576" spans="1:3" ht="15" x14ac:dyDescent="0.25">
      <c r="A576" s="3" t="s">
        <v>204</v>
      </c>
      <c r="B576" s="3" t="s">
        <v>394</v>
      </c>
      <c r="C576" s="3" t="s">
        <v>105</v>
      </c>
    </row>
    <row r="577" spans="1:3" ht="15" x14ac:dyDescent="0.25">
      <c r="A577" s="3" t="s">
        <v>405</v>
      </c>
      <c r="B577" s="3" t="s">
        <v>394</v>
      </c>
      <c r="C577" s="3" t="s">
        <v>105</v>
      </c>
    </row>
    <row r="578" spans="1:3" ht="15" x14ac:dyDescent="0.25">
      <c r="A578" s="3" t="s">
        <v>207</v>
      </c>
      <c r="B578" s="3" t="s">
        <v>406</v>
      </c>
      <c r="C578" s="3" t="s">
        <v>105</v>
      </c>
    </row>
    <row r="579" spans="1:3" ht="15" x14ac:dyDescent="0.25">
      <c r="A579" s="3" t="s">
        <v>408</v>
      </c>
      <c r="B579" s="3" t="s">
        <v>406</v>
      </c>
      <c r="C579" s="3" t="s">
        <v>105</v>
      </c>
    </row>
    <row r="580" spans="1:3" ht="15" x14ac:dyDescent="0.25">
      <c r="A580" s="3" t="s">
        <v>186</v>
      </c>
      <c r="B580" s="3" t="s">
        <v>406</v>
      </c>
      <c r="C580" s="3" t="s">
        <v>105</v>
      </c>
    </row>
    <row r="581" spans="1:3" ht="15" x14ac:dyDescent="0.25">
      <c r="A581" s="3" t="s">
        <v>187</v>
      </c>
      <c r="B581" s="3" t="s">
        <v>406</v>
      </c>
      <c r="C581" s="3" t="s">
        <v>105</v>
      </c>
    </row>
    <row r="582" spans="1:3" ht="15" x14ac:dyDescent="0.25">
      <c r="A582" s="3" t="s">
        <v>11</v>
      </c>
      <c r="B582" s="3" t="s">
        <v>406</v>
      </c>
      <c r="C582" s="3" t="s">
        <v>105</v>
      </c>
    </row>
    <row r="583" spans="1:3" ht="15" x14ac:dyDescent="0.25">
      <c r="A583" s="3" t="s">
        <v>188</v>
      </c>
      <c r="B583" s="3" t="s">
        <v>406</v>
      </c>
      <c r="C583" s="3" t="s">
        <v>105</v>
      </c>
    </row>
    <row r="584" spans="1:3" ht="15" x14ac:dyDescent="0.25">
      <c r="A584" s="3" t="s">
        <v>410</v>
      </c>
      <c r="B584" s="3" t="s">
        <v>406</v>
      </c>
      <c r="C584" s="3" t="s">
        <v>105</v>
      </c>
    </row>
    <row r="585" spans="1:3" ht="15" x14ac:dyDescent="0.25">
      <c r="A585" s="3" t="s">
        <v>164</v>
      </c>
      <c r="B585" s="3" t="s">
        <v>406</v>
      </c>
      <c r="C585" s="3" t="s">
        <v>105</v>
      </c>
    </row>
    <row r="586" spans="1:3" ht="15" x14ac:dyDescent="0.25">
      <c r="A586" s="3" t="s">
        <v>349</v>
      </c>
      <c r="B586" s="3" t="s">
        <v>406</v>
      </c>
      <c r="C586" s="3" t="s">
        <v>105</v>
      </c>
    </row>
    <row r="587" spans="1:3" ht="15" x14ac:dyDescent="0.25">
      <c r="A587" s="3" t="s">
        <v>170</v>
      </c>
      <c r="B587" s="3" t="s">
        <v>406</v>
      </c>
      <c r="C587" s="3" t="s">
        <v>105</v>
      </c>
    </row>
    <row r="588" spans="1:3" ht="15" x14ac:dyDescent="0.25">
      <c r="A588" s="3" t="s">
        <v>244</v>
      </c>
      <c r="B588" s="3" t="s">
        <v>406</v>
      </c>
      <c r="C588" s="3" t="s">
        <v>105</v>
      </c>
    </row>
    <row r="589" spans="1:3" ht="15" x14ac:dyDescent="0.25">
      <c r="A589" s="3" t="s">
        <v>139</v>
      </c>
      <c r="B589" s="3" t="s">
        <v>406</v>
      </c>
      <c r="C589" s="3" t="s">
        <v>105</v>
      </c>
    </row>
    <row r="590" spans="1:3" ht="15" x14ac:dyDescent="0.25">
      <c r="A590" s="3" t="s">
        <v>191</v>
      </c>
      <c r="B590" s="3" t="s">
        <v>406</v>
      </c>
      <c r="C590" s="3" t="s">
        <v>105</v>
      </c>
    </row>
    <row r="591" spans="1:3" ht="15" x14ac:dyDescent="0.25">
      <c r="A591" s="3" t="s">
        <v>301</v>
      </c>
      <c r="B591" s="3" t="s">
        <v>406</v>
      </c>
      <c r="C591" s="3" t="s">
        <v>105</v>
      </c>
    </row>
    <row r="592" spans="1:3" ht="15" x14ac:dyDescent="0.25">
      <c r="A592" s="3" t="s">
        <v>350</v>
      </c>
      <c r="B592" s="3" t="s">
        <v>406</v>
      </c>
      <c r="C592" s="3" t="s">
        <v>105</v>
      </c>
    </row>
    <row r="593" spans="1:3" ht="15" x14ac:dyDescent="0.25">
      <c r="A593" s="3" t="s">
        <v>250</v>
      </c>
      <c r="B593" s="3" t="s">
        <v>406</v>
      </c>
      <c r="C593" s="3" t="s">
        <v>105</v>
      </c>
    </row>
    <row r="594" spans="1:3" ht="15" x14ac:dyDescent="0.25">
      <c r="A594" s="3" t="s">
        <v>146</v>
      </c>
      <c r="B594" s="3" t="s">
        <v>406</v>
      </c>
      <c r="C594" s="3" t="s">
        <v>105</v>
      </c>
    </row>
    <row r="595" spans="1:3" ht="15" x14ac:dyDescent="0.25">
      <c r="A595" s="3" t="s">
        <v>43</v>
      </c>
      <c r="B595" s="3" t="s">
        <v>406</v>
      </c>
      <c r="C595" s="3" t="s">
        <v>105</v>
      </c>
    </row>
    <row r="596" spans="1:3" ht="15" x14ac:dyDescent="0.25">
      <c r="A596" s="3" t="s">
        <v>197</v>
      </c>
      <c r="B596" s="3" t="s">
        <v>406</v>
      </c>
      <c r="C596" s="3" t="s">
        <v>105</v>
      </c>
    </row>
    <row r="597" spans="1:3" ht="15" x14ac:dyDescent="0.25">
      <c r="A597" s="3" t="s">
        <v>46</v>
      </c>
      <c r="B597" s="3" t="s">
        <v>406</v>
      </c>
      <c r="C597" s="3" t="s">
        <v>105</v>
      </c>
    </row>
    <row r="598" spans="1:3" ht="15" x14ac:dyDescent="0.25">
      <c r="A598" s="3" t="s">
        <v>363</v>
      </c>
      <c r="B598" s="3" t="s">
        <v>406</v>
      </c>
      <c r="C598" s="3" t="s">
        <v>105</v>
      </c>
    </row>
    <row r="599" spans="1:3" ht="15" x14ac:dyDescent="0.25">
      <c r="A599" s="3" t="s">
        <v>220</v>
      </c>
      <c r="B599" s="3" t="s">
        <v>406</v>
      </c>
      <c r="C599" s="3" t="s">
        <v>105</v>
      </c>
    </row>
    <row r="600" spans="1:3" ht="15" x14ac:dyDescent="0.25">
      <c r="A600" s="3" t="s">
        <v>313</v>
      </c>
      <c r="B600" s="3" t="s">
        <v>406</v>
      </c>
      <c r="C600" s="3" t="s">
        <v>105</v>
      </c>
    </row>
    <row r="601" spans="1:3" ht="15" x14ac:dyDescent="0.25">
      <c r="A601" s="3" t="s">
        <v>314</v>
      </c>
      <c r="B601" s="3" t="s">
        <v>406</v>
      </c>
      <c r="C601" s="3" t="s">
        <v>105</v>
      </c>
    </row>
    <row r="602" spans="1:3" ht="15" x14ac:dyDescent="0.25">
      <c r="A602" s="3" t="s">
        <v>351</v>
      </c>
      <c r="B602" s="3" t="s">
        <v>406</v>
      </c>
      <c r="C602" s="3" t="s">
        <v>105</v>
      </c>
    </row>
    <row r="603" spans="1:3" ht="15" x14ac:dyDescent="0.25">
      <c r="A603" s="3" t="s">
        <v>417</v>
      </c>
      <c r="B603" s="3" t="s">
        <v>406</v>
      </c>
      <c r="C603" s="3" t="s">
        <v>105</v>
      </c>
    </row>
    <row r="604" spans="1:3" ht="15" x14ac:dyDescent="0.25">
      <c r="A604" s="3" t="s">
        <v>419</v>
      </c>
      <c r="B604" s="3" t="s">
        <v>406</v>
      </c>
      <c r="C604" s="3" t="s">
        <v>105</v>
      </c>
    </row>
    <row r="605" spans="1:3" ht="15" x14ac:dyDescent="0.25">
      <c r="A605" s="3" t="s">
        <v>223</v>
      </c>
      <c r="B605" s="3" t="s">
        <v>406</v>
      </c>
      <c r="C605" s="3" t="s">
        <v>105</v>
      </c>
    </row>
    <row r="606" spans="1:3" ht="15" x14ac:dyDescent="0.25">
      <c r="A606" s="3" t="s">
        <v>257</v>
      </c>
      <c r="B606" s="3" t="s">
        <v>406</v>
      </c>
      <c r="C606" s="3" t="s">
        <v>105</v>
      </c>
    </row>
    <row r="607" spans="1:3" ht="15" x14ac:dyDescent="0.25">
      <c r="A607" s="3" t="s">
        <v>150</v>
      </c>
      <c r="B607" s="3" t="s">
        <v>406</v>
      </c>
      <c r="C607" s="3" t="s">
        <v>105</v>
      </c>
    </row>
    <row r="608" spans="1:3" ht="15" x14ac:dyDescent="0.25">
      <c r="A608" s="3" t="s">
        <v>225</v>
      </c>
      <c r="B608" s="3" t="s">
        <v>406</v>
      </c>
      <c r="C608" s="3" t="s">
        <v>105</v>
      </c>
    </row>
    <row r="609" spans="1:3" ht="15" x14ac:dyDescent="0.25">
      <c r="A609" s="3" t="s">
        <v>391</v>
      </c>
      <c r="B609" s="3" t="s">
        <v>406</v>
      </c>
      <c r="C609" s="3" t="s">
        <v>105</v>
      </c>
    </row>
    <row r="610" spans="1:3" ht="15" x14ac:dyDescent="0.25">
      <c r="A610" s="3" t="s">
        <v>355</v>
      </c>
      <c r="B610" s="3" t="s">
        <v>406</v>
      </c>
      <c r="C610" s="3" t="s">
        <v>105</v>
      </c>
    </row>
    <row r="611" spans="1:3" ht="15" x14ac:dyDescent="0.25">
      <c r="A611" s="3" t="s">
        <v>162</v>
      </c>
      <c r="B611" s="3" t="s">
        <v>406</v>
      </c>
      <c r="C611" s="3" t="s">
        <v>105</v>
      </c>
    </row>
    <row r="612" spans="1:3" ht="15" x14ac:dyDescent="0.25">
      <c r="A612" s="3" t="s">
        <v>163</v>
      </c>
      <c r="B612" s="3" t="s">
        <v>406</v>
      </c>
      <c r="C612" s="3" t="s">
        <v>105</v>
      </c>
    </row>
    <row r="613" spans="1:3" ht="15" x14ac:dyDescent="0.25">
      <c r="A613" s="3" t="s">
        <v>98</v>
      </c>
      <c r="B613" s="3" t="s">
        <v>406</v>
      </c>
      <c r="C613" s="3" t="s">
        <v>105</v>
      </c>
    </row>
    <row r="614" spans="1:3" ht="15" x14ac:dyDescent="0.25">
      <c r="A614" s="3" t="s">
        <v>230</v>
      </c>
      <c r="B614" s="3" t="s">
        <v>406</v>
      </c>
      <c r="C614" s="3" t="s">
        <v>105</v>
      </c>
    </row>
    <row r="615" spans="1:3" ht="15" x14ac:dyDescent="0.25">
      <c r="A615" s="3" t="s">
        <v>275</v>
      </c>
      <c r="B615" s="3" t="s">
        <v>406</v>
      </c>
      <c r="C615" s="3" t="s">
        <v>105</v>
      </c>
    </row>
    <row r="616" spans="1:3" ht="15" x14ac:dyDescent="0.25">
      <c r="A616" s="3" t="s">
        <v>359</v>
      </c>
      <c r="B616" s="3" t="s">
        <v>427</v>
      </c>
      <c r="C616" s="3" t="s">
        <v>168</v>
      </c>
    </row>
    <row r="617" spans="1:3" ht="15" x14ac:dyDescent="0.25">
      <c r="A617" s="3" t="s">
        <v>187</v>
      </c>
      <c r="B617" s="3" t="s">
        <v>427</v>
      </c>
      <c r="C617" s="3" t="s">
        <v>168</v>
      </c>
    </row>
    <row r="618" spans="1:3" ht="15" x14ac:dyDescent="0.25">
      <c r="A618" s="3" t="s">
        <v>431</v>
      </c>
      <c r="B618" s="3" t="s">
        <v>427</v>
      </c>
      <c r="C618" s="3" t="s">
        <v>168</v>
      </c>
    </row>
    <row r="619" spans="1:3" ht="15" x14ac:dyDescent="0.25">
      <c r="A619" s="3" t="s">
        <v>367</v>
      </c>
      <c r="B619" s="3" t="s">
        <v>427</v>
      </c>
      <c r="C619" s="3" t="s">
        <v>168</v>
      </c>
    </row>
    <row r="620" spans="1:3" ht="15" x14ac:dyDescent="0.25">
      <c r="A620" s="3" t="s">
        <v>306</v>
      </c>
      <c r="B620" s="3" t="s">
        <v>427</v>
      </c>
      <c r="C620" s="3" t="s">
        <v>168</v>
      </c>
    </row>
    <row r="621" spans="1:3" ht="15" x14ac:dyDescent="0.25">
      <c r="A621" s="3" t="s">
        <v>382</v>
      </c>
      <c r="B621" s="3" t="s">
        <v>427</v>
      </c>
      <c r="C621" s="3" t="s">
        <v>168</v>
      </c>
    </row>
    <row r="622" spans="1:3" ht="15" x14ac:dyDescent="0.25">
      <c r="A622" s="3" t="s">
        <v>251</v>
      </c>
      <c r="B622" s="3" t="s">
        <v>437</v>
      </c>
      <c r="C622" s="3" t="s">
        <v>280</v>
      </c>
    </row>
    <row r="623" spans="1:3" ht="15" x14ac:dyDescent="0.25">
      <c r="A623" s="3" t="s">
        <v>362</v>
      </c>
      <c r="B623" s="3" t="s">
        <v>437</v>
      </c>
      <c r="C623" s="3" t="s">
        <v>280</v>
      </c>
    </row>
    <row r="624" spans="1:3" ht="15" x14ac:dyDescent="0.25">
      <c r="A624" s="3" t="s">
        <v>363</v>
      </c>
      <c r="B624" s="3" t="s">
        <v>437</v>
      </c>
      <c r="C624" s="3" t="s">
        <v>280</v>
      </c>
    </row>
    <row r="625" spans="1:3" ht="15" x14ac:dyDescent="0.25">
      <c r="A625" s="3" t="s">
        <v>116</v>
      </c>
      <c r="B625" s="3" t="s">
        <v>437</v>
      </c>
      <c r="C625" s="3" t="s">
        <v>280</v>
      </c>
    </row>
    <row r="626" spans="1:3" ht="15" x14ac:dyDescent="0.25">
      <c r="A626" s="3" t="s">
        <v>207</v>
      </c>
      <c r="B626" s="3" t="s">
        <v>441</v>
      </c>
      <c r="C626" s="3" t="s">
        <v>443</v>
      </c>
    </row>
    <row r="627" spans="1:3" ht="15" x14ac:dyDescent="0.25">
      <c r="A627" s="3" t="s">
        <v>11</v>
      </c>
      <c r="B627" s="3" t="s">
        <v>441</v>
      </c>
      <c r="C627" s="3" t="s">
        <v>443</v>
      </c>
    </row>
    <row r="628" spans="1:3" ht="15" x14ac:dyDescent="0.25">
      <c r="A628" s="3" t="s">
        <v>349</v>
      </c>
      <c r="B628" s="3" t="s">
        <v>441</v>
      </c>
      <c r="C628" s="3" t="s">
        <v>443</v>
      </c>
    </row>
    <row r="629" spans="1:3" ht="15" x14ac:dyDescent="0.25">
      <c r="A629" s="3" t="s">
        <v>243</v>
      </c>
      <c r="B629" s="3" t="s">
        <v>441</v>
      </c>
      <c r="C629" s="3" t="s">
        <v>443</v>
      </c>
    </row>
    <row r="630" spans="1:3" ht="15" x14ac:dyDescent="0.25">
      <c r="A630" s="3" t="s">
        <v>139</v>
      </c>
      <c r="B630" s="3" t="s">
        <v>441</v>
      </c>
      <c r="C630" s="3" t="s">
        <v>443</v>
      </c>
    </row>
    <row r="631" spans="1:3" ht="15" x14ac:dyDescent="0.25">
      <c r="A631" s="3" t="s">
        <v>449</v>
      </c>
      <c r="B631" s="3" t="s">
        <v>441</v>
      </c>
      <c r="C631" s="3" t="s">
        <v>443</v>
      </c>
    </row>
    <row r="632" spans="1:3" ht="15" x14ac:dyDescent="0.25">
      <c r="A632" s="3" t="s">
        <v>451</v>
      </c>
      <c r="B632" s="3" t="s">
        <v>441</v>
      </c>
      <c r="C632" s="3" t="s">
        <v>443</v>
      </c>
    </row>
    <row r="633" spans="1:3" ht="15" x14ac:dyDescent="0.25">
      <c r="A633" s="3" t="s">
        <v>43</v>
      </c>
      <c r="B633" s="3" t="s">
        <v>441</v>
      </c>
      <c r="C633" s="3" t="s">
        <v>443</v>
      </c>
    </row>
    <row r="634" spans="1:3" ht="15" x14ac:dyDescent="0.25">
      <c r="A634" s="3" t="s">
        <v>417</v>
      </c>
      <c r="B634" s="3" t="s">
        <v>441</v>
      </c>
      <c r="C634" s="3" t="s">
        <v>443</v>
      </c>
    </row>
    <row r="635" spans="1:3" ht="15" x14ac:dyDescent="0.25">
      <c r="A635" s="3" t="s">
        <v>108</v>
      </c>
      <c r="B635" s="3" t="s">
        <v>441</v>
      </c>
      <c r="C635" s="3" t="s">
        <v>443</v>
      </c>
    </row>
    <row r="636" spans="1:3" ht="15" x14ac:dyDescent="0.25">
      <c r="A636" s="3" t="s">
        <v>111</v>
      </c>
      <c r="B636" s="3" t="s">
        <v>441</v>
      </c>
      <c r="C636" s="3" t="s">
        <v>443</v>
      </c>
    </row>
    <row r="637" spans="1:3" ht="15" x14ac:dyDescent="0.25">
      <c r="A637" s="3" t="s">
        <v>114</v>
      </c>
      <c r="B637" s="3" t="s">
        <v>441</v>
      </c>
      <c r="C637" s="3" t="s">
        <v>443</v>
      </c>
    </row>
    <row r="638" spans="1:3" ht="15" x14ac:dyDescent="0.25">
      <c r="A638" s="3" t="s">
        <v>265</v>
      </c>
      <c r="B638" s="3" t="s">
        <v>441</v>
      </c>
      <c r="C638" s="3" t="s">
        <v>443</v>
      </c>
    </row>
    <row r="639" spans="1:3" ht="15" x14ac:dyDescent="0.25">
      <c r="A639" s="3" t="s">
        <v>87</v>
      </c>
      <c r="B639" s="3" t="s">
        <v>441</v>
      </c>
      <c r="C639" s="3" t="s">
        <v>443</v>
      </c>
    </row>
    <row r="640" spans="1:3" ht="15" x14ac:dyDescent="0.25">
      <c r="A640" s="3" t="s">
        <v>95</v>
      </c>
      <c r="B640" s="3" t="s">
        <v>441</v>
      </c>
      <c r="C640" s="3" t="s">
        <v>443</v>
      </c>
    </row>
    <row r="641" spans="1:3" ht="15" x14ac:dyDescent="0.25">
      <c r="A641" s="3" t="s">
        <v>275</v>
      </c>
      <c r="B641" s="3" t="s">
        <v>441</v>
      </c>
      <c r="C641" s="3" t="s">
        <v>443</v>
      </c>
    </row>
    <row r="642" spans="1:3" ht="15" x14ac:dyDescent="0.25">
      <c r="A642" s="3" t="s">
        <v>145</v>
      </c>
      <c r="B642" s="3" t="s">
        <v>441</v>
      </c>
      <c r="C642" s="3" t="s">
        <v>443</v>
      </c>
    </row>
    <row r="643" spans="1:3" ht="15" x14ac:dyDescent="0.25">
      <c r="A643" s="3" t="s">
        <v>182</v>
      </c>
      <c r="B643" s="3" t="s">
        <v>441</v>
      </c>
      <c r="C643" s="3" t="s">
        <v>443</v>
      </c>
    </row>
    <row r="644" spans="1:3" ht="15" x14ac:dyDescent="0.25">
      <c r="A644" s="3" t="s">
        <v>16</v>
      </c>
      <c r="B644" s="3" t="s">
        <v>462</v>
      </c>
      <c r="C644" s="3" t="s">
        <v>280</v>
      </c>
    </row>
    <row r="645" spans="1:3" ht="15" x14ac:dyDescent="0.25">
      <c r="A645" s="3" t="s">
        <v>464</v>
      </c>
      <c r="B645" s="3" t="s">
        <v>462</v>
      </c>
      <c r="C645" s="3" t="s">
        <v>280</v>
      </c>
    </row>
    <row r="646" spans="1:3" ht="15" x14ac:dyDescent="0.25">
      <c r="A646" s="3" t="s">
        <v>466</v>
      </c>
      <c r="B646" s="3" t="s">
        <v>462</v>
      </c>
      <c r="C646" s="3" t="s">
        <v>280</v>
      </c>
    </row>
    <row r="647" spans="1:3" ht="15" x14ac:dyDescent="0.25">
      <c r="A647" s="3" t="s">
        <v>260</v>
      </c>
      <c r="B647" s="3" t="s">
        <v>462</v>
      </c>
      <c r="C647" s="3" t="s">
        <v>280</v>
      </c>
    </row>
    <row r="648" spans="1:3" ht="15" x14ac:dyDescent="0.25">
      <c r="A648" s="3" t="s">
        <v>468</v>
      </c>
      <c r="B648" s="3" t="s">
        <v>462</v>
      </c>
      <c r="C648" s="3" t="s">
        <v>280</v>
      </c>
    </row>
    <row r="649" spans="1:3" ht="15" x14ac:dyDescent="0.25">
      <c r="A649" s="3" t="s">
        <v>471</v>
      </c>
      <c r="B649" s="3" t="s">
        <v>462</v>
      </c>
      <c r="C649" s="3" t="s">
        <v>280</v>
      </c>
    </row>
    <row r="650" spans="1:3" ht="15" x14ac:dyDescent="0.25">
      <c r="A650" s="3" t="s">
        <v>264</v>
      </c>
      <c r="B650" s="3" t="s">
        <v>462</v>
      </c>
      <c r="C650" s="3" t="s">
        <v>280</v>
      </c>
    </row>
    <row r="651" spans="1:3" ht="15" x14ac:dyDescent="0.25">
      <c r="A651" s="3" t="s">
        <v>102</v>
      </c>
      <c r="B651" s="3" t="s">
        <v>462</v>
      </c>
      <c r="C651" s="3" t="s">
        <v>280</v>
      </c>
    </row>
    <row r="652" spans="1:3" ht="15" x14ac:dyDescent="0.25">
      <c r="A652" s="3" t="s">
        <v>405</v>
      </c>
      <c r="B652" s="3" t="s">
        <v>462</v>
      </c>
      <c r="C652" s="3" t="s">
        <v>280</v>
      </c>
    </row>
    <row r="653" spans="1:3" ht="15" x14ac:dyDescent="0.25">
      <c r="A653" s="3" t="s">
        <v>284</v>
      </c>
      <c r="B653" s="3" t="s">
        <v>476</v>
      </c>
      <c r="C653" s="3" t="s">
        <v>280</v>
      </c>
    </row>
    <row r="654" spans="1:3" ht="15" x14ac:dyDescent="0.25">
      <c r="A654" s="3" t="s">
        <v>188</v>
      </c>
      <c r="B654" s="3" t="s">
        <v>476</v>
      </c>
      <c r="C654" s="3" t="s">
        <v>280</v>
      </c>
    </row>
    <row r="655" spans="1:3" ht="15" x14ac:dyDescent="0.25">
      <c r="A655" s="3" t="s">
        <v>216</v>
      </c>
      <c r="B655" s="3" t="s">
        <v>476</v>
      </c>
      <c r="C655" s="3" t="s">
        <v>280</v>
      </c>
    </row>
    <row r="656" spans="1:3" ht="15" x14ac:dyDescent="0.25">
      <c r="A656" s="3" t="s">
        <v>146</v>
      </c>
      <c r="B656" s="3" t="s">
        <v>476</v>
      </c>
      <c r="C656" s="3" t="s">
        <v>280</v>
      </c>
    </row>
    <row r="657" spans="1:3" ht="15" x14ac:dyDescent="0.25">
      <c r="A657" s="3" t="s">
        <v>255</v>
      </c>
      <c r="B657" s="3" t="s">
        <v>476</v>
      </c>
      <c r="C657" s="3" t="s">
        <v>280</v>
      </c>
    </row>
    <row r="658" spans="1:3" ht="15" x14ac:dyDescent="0.25">
      <c r="A658" s="3" t="s">
        <v>149</v>
      </c>
      <c r="B658" s="3" t="s">
        <v>476</v>
      </c>
      <c r="C658" s="3" t="s">
        <v>280</v>
      </c>
    </row>
    <row r="659" spans="1:3" ht="15" x14ac:dyDescent="0.25">
      <c r="A659" s="3" t="s">
        <v>257</v>
      </c>
      <c r="B659" s="3" t="s">
        <v>476</v>
      </c>
      <c r="C659" s="3" t="s">
        <v>280</v>
      </c>
    </row>
    <row r="660" spans="1:3" ht="15" x14ac:dyDescent="0.25">
      <c r="A660" s="3" t="s">
        <v>268</v>
      </c>
      <c r="B660" s="3" t="s">
        <v>476</v>
      </c>
      <c r="C660" s="3" t="s">
        <v>280</v>
      </c>
    </row>
    <row r="661" spans="1:3" ht="15" x14ac:dyDescent="0.25">
      <c r="A661" s="3" t="s">
        <v>326</v>
      </c>
      <c r="B661" s="3" t="s">
        <v>476</v>
      </c>
      <c r="C661" s="3" t="s">
        <v>280</v>
      </c>
    </row>
    <row r="662" spans="1:3" ht="15" x14ac:dyDescent="0.25">
      <c r="A662" s="3" t="s">
        <v>205</v>
      </c>
      <c r="B662" s="3" t="s">
        <v>480</v>
      </c>
      <c r="C662" s="3" t="s">
        <v>105</v>
      </c>
    </row>
    <row r="663" spans="1:3" ht="15" x14ac:dyDescent="0.25">
      <c r="A663" s="3" t="s">
        <v>10</v>
      </c>
      <c r="B663" s="3" t="s">
        <v>480</v>
      </c>
      <c r="C663" s="3" t="s">
        <v>105</v>
      </c>
    </row>
    <row r="664" spans="1:3" ht="15" x14ac:dyDescent="0.25">
      <c r="A664" s="3" t="s">
        <v>185</v>
      </c>
      <c r="B664" s="3" t="s">
        <v>480</v>
      </c>
      <c r="C664" s="3" t="s">
        <v>105</v>
      </c>
    </row>
    <row r="665" spans="1:3" ht="15" x14ac:dyDescent="0.25">
      <c r="A665" s="3" t="s">
        <v>484</v>
      </c>
      <c r="B665" s="3" t="s">
        <v>480</v>
      </c>
      <c r="C665" s="3" t="s">
        <v>105</v>
      </c>
    </row>
    <row r="666" spans="1:3" ht="15" x14ac:dyDescent="0.25">
      <c r="A666" s="3" t="s">
        <v>106</v>
      </c>
      <c r="B666" s="3" t="s">
        <v>480</v>
      </c>
      <c r="C666" s="3" t="s">
        <v>105</v>
      </c>
    </row>
    <row r="667" spans="1:3" ht="15" x14ac:dyDescent="0.25">
      <c r="A667" s="3" t="s">
        <v>486</v>
      </c>
      <c r="B667" s="3" t="s">
        <v>480</v>
      </c>
      <c r="C667" s="3" t="s">
        <v>105</v>
      </c>
    </row>
    <row r="668" spans="1:3" ht="15" x14ac:dyDescent="0.25">
      <c r="A668" s="3" t="s">
        <v>388</v>
      </c>
      <c r="B668" s="3" t="s">
        <v>480</v>
      </c>
      <c r="C668" s="3" t="s">
        <v>105</v>
      </c>
    </row>
    <row r="669" spans="1:3" ht="15" x14ac:dyDescent="0.25">
      <c r="A669" s="3" t="s">
        <v>18</v>
      </c>
      <c r="B669" s="3" t="s">
        <v>480</v>
      </c>
      <c r="C669" s="3" t="s">
        <v>105</v>
      </c>
    </row>
    <row r="670" spans="1:3" ht="15" x14ac:dyDescent="0.25">
      <c r="A670" s="3" t="s">
        <v>193</v>
      </c>
      <c r="B670" s="3" t="s">
        <v>480</v>
      </c>
      <c r="C670" s="3" t="s">
        <v>105</v>
      </c>
    </row>
    <row r="671" spans="1:3" ht="15" x14ac:dyDescent="0.25">
      <c r="A671" s="3" t="s">
        <v>492</v>
      </c>
      <c r="B671" s="3" t="s">
        <v>480</v>
      </c>
      <c r="C671" s="3" t="s">
        <v>105</v>
      </c>
    </row>
    <row r="672" spans="1:3" ht="15" x14ac:dyDescent="0.25">
      <c r="A672" s="3" t="s">
        <v>449</v>
      </c>
      <c r="B672" s="3" t="s">
        <v>480</v>
      </c>
      <c r="C672" s="3" t="s">
        <v>105</v>
      </c>
    </row>
    <row r="673" spans="1:3" ht="15" x14ac:dyDescent="0.25">
      <c r="A673" s="3" t="s">
        <v>195</v>
      </c>
      <c r="B673" s="3" t="s">
        <v>480</v>
      </c>
      <c r="C673" s="3" t="s">
        <v>105</v>
      </c>
    </row>
    <row r="674" spans="1:3" ht="15" x14ac:dyDescent="0.25">
      <c r="A674" s="3" t="s">
        <v>451</v>
      </c>
      <c r="B674" s="3" t="s">
        <v>480</v>
      </c>
      <c r="C674" s="3" t="s">
        <v>105</v>
      </c>
    </row>
    <row r="675" spans="1:3" ht="15" x14ac:dyDescent="0.25">
      <c r="A675" s="3" t="s">
        <v>254</v>
      </c>
      <c r="B675" s="3" t="s">
        <v>480</v>
      </c>
      <c r="C675" s="3" t="s">
        <v>105</v>
      </c>
    </row>
    <row r="676" spans="1:3" ht="15" x14ac:dyDescent="0.25">
      <c r="A676" s="3" t="s">
        <v>107</v>
      </c>
      <c r="B676" s="3" t="s">
        <v>480</v>
      </c>
      <c r="C676" s="3" t="s">
        <v>105</v>
      </c>
    </row>
    <row r="677" spans="1:3" ht="15" x14ac:dyDescent="0.25">
      <c r="A677" s="3" t="s">
        <v>198</v>
      </c>
      <c r="B677" s="3" t="s">
        <v>480</v>
      </c>
      <c r="C677" s="3" t="s">
        <v>105</v>
      </c>
    </row>
    <row r="678" spans="1:3" ht="15" x14ac:dyDescent="0.25">
      <c r="A678" s="3" t="s">
        <v>310</v>
      </c>
      <c r="B678" s="3" t="s">
        <v>480</v>
      </c>
      <c r="C678" s="3" t="s">
        <v>105</v>
      </c>
    </row>
    <row r="679" spans="1:3" ht="15" x14ac:dyDescent="0.25">
      <c r="A679" s="3" t="s">
        <v>221</v>
      </c>
      <c r="B679" s="3" t="s">
        <v>480</v>
      </c>
      <c r="C679" s="3" t="s">
        <v>105</v>
      </c>
    </row>
    <row r="680" spans="1:3" ht="15" x14ac:dyDescent="0.25">
      <c r="A680" s="3" t="s">
        <v>222</v>
      </c>
      <c r="B680" s="3" t="s">
        <v>480</v>
      </c>
      <c r="C680" s="3" t="s">
        <v>105</v>
      </c>
    </row>
    <row r="681" spans="1:3" ht="15" x14ac:dyDescent="0.25">
      <c r="A681" s="3" t="s">
        <v>177</v>
      </c>
      <c r="B681" s="3" t="s">
        <v>480</v>
      </c>
      <c r="C681" s="3" t="s">
        <v>105</v>
      </c>
    </row>
    <row r="682" spans="1:3" ht="15" x14ac:dyDescent="0.25">
      <c r="A682" s="3" t="s">
        <v>52</v>
      </c>
      <c r="B682" s="3" t="s">
        <v>480</v>
      </c>
      <c r="C682" s="3" t="s">
        <v>105</v>
      </c>
    </row>
    <row r="683" spans="1:3" ht="15" x14ac:dyDescent="0.25">
      <c r="A683" s="3" t="s">
        <v>215</v>
      </c>
      <c r="B683" s="3" t="s">
        <v>480</v>
      </c>
      <c r="C683" s="3" t="s">
        <v>105</v>
      </c>
    </row>
    <row r="684" spans="1:3" ht="15" x14ac:dyDescent="0.25">
      <c r="A684" s="3" t="s">
        <v>55</v>
      </c>
      <c r="B684" s="3" t="s">
        <v>480</v>
      </c>
      <c r="C684" s="3" t="s">
        <v>105</v>
      </c>
    </row>
    <row r="685" spans="1:3" ht="15" x14ac:dyDescent="0.25">
      <c r="A685" s="3" t="s">
        <v>306</v>
      </c>
      <c r="B685" s="3" t="s">
        <v>480</v>
      </c>
      <c r="C685" s="3" t="s">
        <v>105</v>
      </c>
    </row>
    <row r="686" spans="1:3" ht="15" x14ac:dyDescent="0.25">
      <c r="A686" s="3" t="s">
        <v>501</v>
      </c>
      <c r="B686" s="3" t="s">
        <v>480</v>
      </c>
      <c r="C686" s="3" t="s">
        <v>105</v>
      </c>
    </row>
    <row r="687" spans="1:3" ht="15" x14ac:dyDescent="0.25">
      <c r="A687" s="3" t="s">
        <v>67</v>
      </c>
      <c r="B687" s="3" t="s">
        <v>480</v>
      </c>
      <c r="C687" s="3" t="s">
        <v>105</v>
      </c>
    </row>
    <row r="688" spans="1:3" ht="15" x14ac:dyDescent="0.25">
      <c r="A688" s="3" t="s">
        <v>114</v>
      </c>
      <c r="B688" s="3" t="s">
        <v>480</v>
      </c>
      <c r="C688" s="3" t="s">
        <v>105</v>
      </c>
    </row>
    <row r="689" spans="1:3" ht="15" x14ac:dyDescent="0.25">
      <c r="A689" s="3" t="s">
        <v>267</v>
      </c>
      <c r="B689" s="3" t="s">
        <v>480</v>
      </c>
      <c r="C689" s="3" t="s">
        <v>105</v>
      </c>
    </row>
    <row r="690" spans="1:3" ht="15" x14ac:dyDescent="0.25">
      <c r="A690" s="3" t="s">
        <v>75</v>
      </c>
      <c r="B690" s="3" t="s">
        <v>480</v>
      </c>
      <c r="C690" s="3" t="s">
        <v>105</v>
      </c>
    </row>
    <row r="691" spans="1:3" ht="15" x14ac:dyDescent="0.25">
      <c r="A691" s="3" t="s">
        <v>268</v>
      </c>
      <c r="B691" s="3" t="s">
        <v>480</v>
      </c>
      <c r="C691" s="3" t="s">
        <v>105</v>
      </c>
    </row>
    <row r="692" spans="1:3" ht="15" x14ac:dyDescent="0.25">
      <c r="A692" s="3" t="s">
        <v>78</v>
      </c>
      <c r="B692" s="3" t="s">
        <v>480</v>
      </c>
      <c r="C692" s="3" t="s">
        <v>105</v>
      </c>
    </row>
    <row r="693" spans="1:3" ht="15" x14ac:dyDescent="0.25">
      <c r="A693" s="3" t="s">
        <v>84</v>
      </c>
      <c r="B693" s="3" t="s">
        <v>480</v>
      </c>
      <c r="C693" s="3" t="s">
        <v>105</v>
      </c>
    </row>
    <row r="694" spans="1:3" ht="15" x14ac:dyDescent="0.25">
      <c r="A694" s="3" t="s">
        <v>92</v>
      </c>
      <c r="B694" s="3" t="s">
        <v>480</v>
      </c>
      <c r="C694" s="3" t="s">
        <v>105</v>
      </c>
    </row>
    <row r="695" spans="1:3" ht="15" x14ac:dyDescent="0.25">
      <c r="A695" s="3" t="s">
        <v>376</v>
      </c>
      <c r="B695" s="3" t="s">
        <v>480</v>
      </c>
      <c r="C695" s="3" t="s">
        <v>105</v>
      </c>
    </row>
    <row r="696" spans="1:3" ht="15" x14ac:dyDescent="0.25">
      <c r="A696" s="3" t="s">
        <v>331</v>
      </c>
      <c r="B696" s="3" t="s">
        <v>480</v>
      </c>
      <c r="C696" s="3" t="s">
        <v>105</v>
      </c>
    </row>
    <row r="697" spans="1:3" ht="15" x14ac:dyDescent="0.25">
      <c r="A697" s="3" t="s">
        <v>508</v>
      </c>
      <c r="B697" s="3" t="s">
        <v>480</v>
      </c>
      <c r="C697" s="3" t="s">
        <v>105</v>
      </c>
    </row>
    <row r="698" spans="1:3" ht="15" x14ac:dyDescent="0.25">
      <c r="A698" s="3" t="s">
        <v>370</v>
      </c>
      <c r="B698" s="3" t="s">
        <v>480</v>
      </c>
      <c r="C698" s="3" t="s">
        <v>105</v>
      </c>
    </row>
    <row r="699" spans="1:3" ht="15" x14ac:dyDescent="0.25">
      <c r="A699" s="3" t="s">
        <v>119</v>
      </c>
      <c r="B699" s="3" t="s">
        <v>480</v>
      </c>
      <c r="C699" s="3" t="s">
        <v>105</v>
      </c>
    </row>
    <row r="700" spans="1:3" ht="15" x14ac:dyDescent="0.25">
      <c r="A700" s="3" t="s">
        <v>122</v>
      </c>
      <c r="B700" s="3" t="s">
        <v>480</v>
      </c>
      <c r="C700" s="3" t="s">
        <v>105</v>
      </c>
    </row>
    <row r="701" spans="1:3" ht="15" x14ac:dyDescent="0.25">
      <c r="A701" s="3" t="s">
        <v>233</v>
      </c>
      <c r="B701" s="3" t="s">
        <v>509</v>
      </c>
      <c r="C701" s="3" t="s">
        <v>105</v>
      </c>
    </row>
    <row r="702" spans="1:3" ht="15" x14ac:dyDescent="0.25">
      <c r="A702" s="3" t="s">
        <v>209</v>
      </c>
      <c r="B702" s="3" t="s">
        <v>509</v>
      </c>
      <c r="C702" s="3" t="s">
        <v>105</v>
      </c>
    </row>
    <row r="703" spans="1:3" ht="15" x14ac:dyDescent="0.25">
      <c r="A703" s="3" t="s">
        <v>286</v>
      </c>
      <c r="B703" s="3" t="s">
        <v>509</v>
      </c>
      <c r="C703" s="3" t="s">
        <v>105</v>
      </c>
    </row>
    <row r="704" spans="1:3" ht="15" x14ac:dyDescent="0.25">
      <c r="A704" s="3" t="s">
        <v>287</v>
      </c>
      <c r="B704" s="3" t="s">
        <v>509</v>
      </c>
      <c r="C704" s="3" t="s">
        <v>105</v>
      </c>
    </row>
    <row r="705" spans="1:3" ht="15" x14ac:dyDescent="0.25">
      <c r="A705" s="3" t="s">
        <v>212</v>
      </c>
      <c r="B705" s="3" t="s">
        <v>509</v>
      </c>
      <c r="C705" s="3" t="s">
        <v>105</v>
      </c>
    </row>
    <row r="706" spans="1:3" ht="15" x14ac:dyDescent="0.25">
      <c r="A706" s="3" t="s">
        <v>395</v>
      </c>
      <c r="B706" s="3" t="s">
        <v>509</v>
      </c>
      <c r="C706" s="3" t="s">
        <v>105</v>
      </c>
    </row>
    <row r="707" spans="1:3" ht="15" x14ac:dyDescent="0.25">
      <c r="A707" s="3" t="s">
        <v>138</v>
      </c>
      <c r="B707" s="3" t="s">
        <v>509</v>
      </c>
      <c r="C707" s="3" t="s">
        <v>105</v>
      </c>
    </row>
    <row r="708" spans="1:3" ht="15" x14ac:dyDescent="0.25">
      <c r="A708" s="3" t="s">
        <v>241</v>
      </c>
      <c r="B708" s="3" t="s">
        <v>509</v>
      </c>
      <c r="C708" s="3" t="s">
        <v>105</v>
      </c>
    </row>
    <row r="709" spans="1:3" ht="15" x14ac:dyDescent="0.25">
      <c r="A709" s="3" t="s">
        <v>214</v>
      </c>
      <c r="B709" s="3" t="s">
        <v>509</v>
      </c>
      <c r="C709" s="3" t="s">
        <v>105</v>
      </c>
    </row>
    <row r="710" spans="1:3" ht="15" x14ac:dyDescent="0.25">
      <c r="A710" s="3" t="s">
        <v>513</v>
      </c>
      <c r="B710" s="3" t="s">
        <v>509</v>
      </c>
      <c r="C710" s="3" t="s">
        <v>105</v>
      </c>
    </row>
    <row r="711" spans="1:3" ht="15" x14ac:dyDescent="0.25">
      <c r="A711" s="3" t="s">
        <v>25</v>
      </c>
      <c r="B711" s="3" t="s">
        <v>509</v>
      </c>
      <c r="C711" s="3" t="s">
        <v>105</v>
      </c>
    </row>
    <row r="712" spans="1:3" ht="15" x14ac:dyDescent="0.25">
      <c r="A712" s="3" t="s">
        <v>242</v>
      </c>
      <c r="B712" s="3" t="s">
        <v>509</v>
      </c>
      <c r="C712" s="3" t="s">
        <v>105</v>
      </c>
    </row>
    <row r="713" spans="1:3" ht="15" x14ac:dyDescent="0.25">
      <c r="A713" s="3" t="s">
        <v>516</v>
      </c>
      <c r="B713" s="3" t="s">
        <v>509</v>
      </c>
      <c r="C713" s="3" t="s">
        <v>105</v>
      </c>
    </row>
    <row r="714" spans="1:3" ht="15" x14ac:dyDescent="0.25">
      <c r="A714" s="3" t="s">
        <v>141</v>
      </c>
      <c r="B714" s="3" t="s">
        <v>509</v>
      </c>
      <c r="C714" s="3" t="s">
        <v>105</v>
      </c>
    </row>
    <row r="715" spans="1:3" ht="15" x14ac:dyDescent="0.25">
      <c r="A715" s="3" t="s">
        <v>137</v>
      </c>
      <c r="B715" s="3" t="s">
        <v>509</v>
      </c>
      <c r="C715" s="3" t="s">
        <v>105</v>
      </c>
    </row>
    <row r="716" spans="1:3" ht="15" x14ac:dyDescent="0.25">
      <c r="A716" s="3" t="s">
        <v>175</v>
      </c>
      <c r="B716" s="3" t="s">
        <v>509</v>
      </c>
      <c r="C716" s="3" t="s">
        <v>105</v>
      </c>
    </row>
    <row r="717" spans="1:3" ht="15" x14ac:dyDescent="0.25">
      <c r="A717" s="3" t="s">
        <v>393</v>
      </c>
      <c r="B717" s="3" t="s">
        <v>509</v>
      </c>
      <c r="C717" s="3" t="s">
        <v>105</v>
      </c>
    </row>
    <row r="718" spans="1:3" ht="15" x14ac:dyDescent="0.25">
      <c r="A718" s="3" t="s">
        <v>521</v>
      </c>
      <c r="B718" s="3" t="s">
        <v>509</v>
      </c>
      <c r="C718" s="3" t="s">
        <v>105</v>
      </c>
    </row>
    <row r="719" spans="1:3" ht="15" x14ac:dyDescent="0.25">
      <c r="A719" s="3" t="s">
        <v>319</v>
      </c>
      <c r="B719" s="3" t="s">
        <v>509</v>
      </c>
      <c r="C719" s="3" t="s">
        <v>105</v>
      </c>
    </row>
    <row r="720" spans="1:3" ht="15" x14ac:dyDescent="0.25">
      <c r="A720" s="3" t="s">
        <v>397</v>
      </c>
      <c r="B720" s="3" t="s">
        <v>509</v>
      </c>
      <c r="C720" s="3" t="s">
        <v>105</v>
      </c>
    </row>
    <row r="721" spans="1:3" ht="15" x14ac:dyDescent="0.25">
      <c r="A721" s="3" t="s">
        <v>317</v>
      </c>
      <c r="B721" s="3" t="s">
        <v>509</v>
      </c>
      <c r="C721" s="3" t="s">
        <v>105</v>
      </c>
    </row>
    <row r="722" spans="1:3" ht="15" x14ac:dyDescent="0.25">
      <c r="A722" s="3" t="s">
        <v>398</v>
      </c>
      <c r="B722" s="3" t="s">
        <v>509</v>
      </c>
      <c r="C722" s="3" t="s">
        <v>105</v>
      </c>
    </row>
    <row r="723" spans="1:3" ht="15" x14ac:dyDescent="0.25">
      <c r="A723" s="3" t="s">
        <v>260</v>
      </c>
      <c r="B723" s="3" t="s">
        <v>509</v>
      </c>
      <c r="C723" s="3" t="s">
        <v>105</v>
      </c>
    </row>
    <row r="724" spans="1:3" ht="15" x14ac:dyDescent="0.25">
      <c r="A724" s="3" t="s">
        <v>468</v>
      </c>
      <c r="B724" s="3" t="s">
        <v>509</v>
      </c>
      <c r="C724" s="3" t="s">
        <v>105</v>
      </c>
    </row>
    <row r="725" spans="1:3" ht="15" x14ac:dyDescent="0.25">
      <c r="A725" s="3" t="s">
        <v>300</v>
      </c>
      <c r="B725" s="3" t="s">
        <v>509</v>
      </c>
      <c r="C725" s="3" t="s">
        <v>105</v>
      </c>
    </row>
    <row r="726" spans="1:3" ht="15" x14ac:dyDescent="0.25">
      <c r="A726" s="3" t="s">
        <v>261</v>
      </c>
      <c r="B726" s="3" t="s">
        <v>509</v>
      </c>
      <c r="C726" s="3" t="s">
        <v>105</v>
      </c>
    </row>
    <row r="727" spans="1:3" ht="15" x14ac:dyDescent="0.25">
      <c r="A727" s="3" t="s">
        <v>232</v>
      </c>
      <c r="B727" s="3" t="s">
        <v>509</v>
      </c>
      <c r="C727" s="3" t="s">
        <v>105</v>
      </c>
    </row>
    <row r="728" spans="1:3" ht="15" x14ac:dyDescent="0.25">
      <c r="A728" s="3" t="s">
        <v>264</v>
      </c>
      <c r="B728" s="3" t="s">
        <v>509</v>
      </c>
      <c r="C728" s="3" t="s">
        <v>105</v>
      </c>
    </row>
    <row r="729" spans="1:3" ht="15" x14ac:dyDescent="0.25">
      <c r="A729" s="3" t="s">
        <v>201</v>
      </c>
      <c r="B729" s="3" t="s">
        <v>509</v>
      </c>
      <c r="C729" s="3" t="s">
        <v>105</v>
      </c>
    </row>
    <row r="730" spans="1:3" ht="15" x14ac:dyDescent="0.25">
      <c r="A730" s="3" t="s">
        <v>343</v>
      </c>
      <c r="B730" s="3" t="s">
        <v>509</v>
      </c>
      <c r="C730" s="3" t="s">
        <v>105</v>
      </c>
    </row>
    <row r="731" spans="1:3" ht="15" x14ac:dyDescent="0.25">
      <c r="A731" s="3" t="s">
        <v>527</v>
      </c>
      <c r="B731" s="3" t="s">
        <v>509</v>
      </c>
      <c r="C731" s="3" t="s">
        <v>105</v>
      </c>
    </row>
    <row r="732" spans="1:3" ht="15" x14ac:dyDescent="0.25">
      <c r="A732" s="3" t="s">
        <v>400</v>
      </c>
      <c r="B732" s="3" t="s">
        <v>509</v>
      </c>
      <c r="C732" s="3" t="s">
        <v>105</v>
      </c>
    </row>
    <row r="733" spans="1:3" ht="15" x14ac:dyDescent="0.25">
      <c r="A733" s="3" t="s">
        <v>344</v>
      </c>
      <c r="B733" s="3" t="s">
        <v>509</v>
      </c>
      <c r="C733" s="3" t="s">
        <v>105</v>
      </c>
    </row>
    <row r="734" spans="1:3" ht="15" x14ac:dyDescent="0.25">
      <c r="A734" s="3" t="s">
        <v>227</v>
      </c>
      <c r="B734" s="3" t="s">
        <v>509</v>
      </c>
      <c r="C734" s="3" t="s">
        <v>105</v>
      </c>
    </row>
    <row r="735" spans="1:3" ht="15" x14ac:dyDescent="0.25">
      <c r="A735" s="3" t="s">
        <v>203</v>
      </c>
      <c r="B735" s="3" t="s">
        <v>509</v>
      </c>
      <c r="C735" s="3" t="s">
        <v>105</v>
      </c>
    </row>
    <row r="736" spans="1:3" ht="15" x14ac:dyDescent="0.25">
      <c r="A736" s="3" t="s">
        <v>228</v>
      </c>
      <c r="B736" s="3" t="s">
        <v>509</v>
      </c>
      <c r="C736" s="3" t="s">
        <v>105</v>
      </c>
    </row>
    <row r="737" spans="1:3" ht="15" x14ac:dyDescent="0.25">
      <c r="A737" s="3" t="s">
        <v>204</v>
      </c>
      <c r="B737" s="3" t="s">
        <v>509</v>
      </c>
      <c r="C737" s="3" t="s">
        <v>105</v>
      </c>
    </row>
    <row r="738" spans="1:3" ht="15" x14ac:dyDescent="0.25">
      <c r="A738" s="3" t="s">
        <v>145</v>
      </c>
      <c r="B738" s="3" t="s">
        <v>509</v>
      </c>
      <c r="C738" s="3" t="s">
        <v>105</v>
      </c>
    </row>
    <row r="739" spans="1:3" ht="15" x14ac:dyDescent="0.25">
      <c r="A739" s="3" t="s">
        <v>405</v>
      </c>
      <c r="B739" s="3" t="s">
        <v>509</v>
      </c>
      <c r="C739" s="3" t="s">
        <v>105</v>
      </c>
    </row>
    <row r="740" spans="1:3" ht="15" x14ac:dyDescent="0.25">
      <c r="A740" s="3" t="s">
        <v>182</v>
      </c>
      <c r="B740" s="3" t="s">
        <v>509</v>
      </c>
      <c r="C740" s="3" t="s">
        <v>105</v>
      </c>
    </row>
    <row r="741" spans="1:3" ht="15" x14ac:dyDescent="0.25">
      <c r="A741" s="3" t="s">
        <v>486</v>
      </c>
      <c r="B741" s="3" t="s">
        <v>528</v>
      </c>
      <c r="C741" s="3" t="s">
        <v>168</v>
      </c>
    </row>
    <row r="742" spans="1:3" ht="15" x14ac:dyDescent="0.25">
      <c r="A742" s="3" t="s">
        <v>449</v>
      </c>
      <c r="B742" s="3" t="s">
        <v>528</v>
      </c>
      <c r="C742" s="3" t="s">
        <v>168</v>
      </c>
    </row>
    <row r="743" spans="1:3" ht="15" x14ac:dyDescent="0.25">
      <c r="A743" s="3" t="s">
        <v>194</v>
      </c>
      <c r="B743" s="3" t="s">
        <v>528</v>
      </c>
      <c r="C743" s="3" t="s">
        <v>168</v>
      </c>
    </row>
    <row r="744" spans="1:3" ht="15" x14ac:dyDescent="0.25">
      <c r="A744" s="3" t="s">
        <v>195</v>
      </c>
      <c r="B744" s="3" t="s">
        <v>528</v>
      </c>
      <c r="C744" s="3" t="s">
        <v>168</v>
      </c>
    </row>
    <row r="745" spans="1:3" ht="15" x14ac:dyDescent="0.25">
      <c r="A745" s="3" t="s">
        <v>36</v>
      </c>
      <c r="B745" s="3" t="s">
        <v>528</v>
      </c>
      <c r="C745" s="3" t="s">
        <v>168</v>
      </c>
    </row>
    <row r="746" spans="1:3" ht="15" x14ac:dyDescent="0.25">
      <c r="A746" s="3" t="s">
        <v>379</v>
      </c>
      <c r="B746" s="3" t="s">
        <v>528</v>
      </c>
      <c r="C746" s="3" t="s">
        <v>168</v>
      </c>
    </row>
    <row r="747" spans="1:3" ht="15" x14ac:dyDescent="0.25">
      <c r="A747" s="3" t="s">
        <v>451</v>
      </c>
      <c r="B747" s="3" t="s">
        <v>528</v>
      </c>
      <c r="C747" s="3" t="s">
        <v>168</v>
      </c>
    </row>
    <row r="748" spans="1:3" ht="15" x14ac:dyDescent="0.25">
      <c r="A748" s="3" t="s">
        <v>351</v>
      </c>
      <c r="B748" s="3" t="s">
        <v>528</v>
      </c>
      <c r="C748" s="3" t="s">
        <v>168</v>
      </c>
    </row>
    <row r="749" spans="1:3" ht="15" x14ac:dyDescent="0.25">
      <c r="A749" s="3" t="s">
        <v>52</v>
      </c>
      <c r="B749" s="3" t="s">
        <v>528</v>
      </c>
      <c r="C749" s="3" t="s">
        <v>168</v>
      </c>
    </row>
    <row r="750" spans="1:3" ht="15" x14ac:dyDescent="0.25">
      <c r="A750" s="3" t="s">
        <v>529</v>
      </c>
      <c r="B750" s="3" t="s">
        <v>528</v>
      </c>
      <c r="C750" s="3" t="s">
        <v>168</v>
      </c>
    </row>
    <row r="751" spans="1:3" ht="15" x14ac:dyDescent="0.25">
      <c r="A751" s="3" t="s">
        <v>83</v>
      </c>
      <c r="B751" s="3" t="s">
        <v>528</v>
      </c>
      <c r="C751" s="3" t="s">
        <v>168</v>
      </c>
    </row>
    <row r="752" spans="1:3" ht="15" x14ac:dyDescent="0.25">
      <c r="A752" s="3" t="s">
        <v>327</v>
      </c>
      <c r="B752" s="3" t="s">
        <v>528</v>
      </c>
      <c r="C752" s="3" t="s">
        <v>168</v>
      </c>
    </row>
    <row r="753" spans="1:3" ht="15" x14ac:dyDescent="0.25">
      <c r="A753" s="3" t="s">
        <v>331</v>
      </c>
      <c r="B753" s="3" t="s">
        <v>528</v>
      </c>
      <c r="C753" s="3" t="s">
        <v>168</v>
      </c>
    </row>
    <row r="754" spans="1:3" ht="15" x14ac:dyDescent="0.25">
      <c r="A754" s="3" t="s">
        <v>333</v>
      </c>
      <c r="B754" s="3" t="s">
        <v>528</v>
      </c>
      <c r="C754" s="3" t="s">
        <v>168</v>
      </c>
    </row>
    <row r="755" spans="1:3" ht="15" x14ac:dyDescent="0.25">
      <c r="A755" s="3" t="s">
        <v>530</v>
      </c>
      <c r="B755" s="3" t="s">
        <v>528</v>
      </c>
      <c r="C755" s="3" t="s">
        <v>168</v>
      </c>
    </row>
    <row r="756" spans="1:3" ht="15" x14ac:dyDescent="0.25">
      <c r="A756" s="3" t="s">
        <v>207</v>
      </c>
      <c r="B756" s="3" t="s">
        <v>531</v>
      </c>
      <c r="C756" s="3" t="s">
        <v>105</v>
      </c>
    </row>
    <row r="757" spans="1:3" ht="15" x14ac:dyDescent="0.25">
      <c r="A757" s="3" t="s">
        <v>124</v>
      </c>
      <c r="B757" s="3" t="s">
        <v>531</v>
      </c>
      <c r="C757" s="3" t="s">
        <v>105</v>
      </c>
    </row>
    <row r="758" spans="1:3" ht="15" x14ac:dyDescent="0.25">
      <c r="A758" s="3" t="s">
        <v>186</v>
      </c>
      <c r="B758" s="3" t="s">
        <v>531</v>
      </c>
      <c r="C758" s="3" t="s">
        <v>105</v>
      </c>
    </row>
    <row r="759" spans="1:3" ht="15" x14ac:dyDescent="0.25">
      <c r="A759" s="3" t="s">
        <v>127</v>
      </c>
      <c r="B759" s="3" t="s">
        <v>531</v>
      </c>
      <c r="C759" s="3" t="s">
        <v>105</v>
      </c>
    </row>
    <row r="760" spans="1:3" ht="15" x14ac:dyDescent="0.25">
      <c r="A760" s="3" t="s">
        <v>11</v>
      </c>
      <c r="B760" s="3" t="s">
        <v>531</v>
      </c>
      <c r="C760" s="3" t="s">
        <v>105</v>
      </c>
    </row>
    <row r="761" spans="1:3" ht="15" x14ac:dyDescent="0.25">
      <c r="A761" s="3" t="s">
        <v>410</v>
      </c>
      <c r="B761" s="3" t="s">
        <v>531</v>
      </c>
      <c r="C761" s="3" t="s">
        <v>105</v>
      </c>
    </row>
    <row r="762" spans="1:3" ht="15" x14ac:dyDescent="0.25">
      <c r="A762" s="3" t="s">
        <v>164</v>
      </c>
      <c r="B762" s="3" t="s">
        <v>531</v>
      </c>
      <c r="C762" s="3" t="s">
        <v>105</v>
      </c>
    </row>
    <row r="763" spans="1:3" ht="15" x14ac:dyDescent="0.25">
      <c r="A763" s="3" t="s">
        <v>129</v>
      </c>
      <c r="B763" s="3" t="s">
        <v>531</v>
      </c>
      <c r="C763" s="3" t="s">
        <v>105</v>
      </c>
    </row>
    <row r="764" spans="1:3" ht="15" x14ac:dyDescent="0.25">
      <c r="A764" s="3" t="s">
        <v>13</v>
      </c>
      <c r="B764" s="3" t="s">
        <v>531</v>
      </c>
      <c r="C764" s="3" t="s">
        <v>105</v>
      </c>
    </row>
    <row r="765" spans="1:3" ht="15" x14ac:dyDescent="0.25">
      <c r="A765" s="3" t="s">
        <v>349</v>
      </c>
      <c r="B765" s="3" t="s">
        <v>531</v>
      </c>
      <c r="C765" s="3" t="s">
        <v>105</v>
      </c>
    </row>
    <row r="766" spans="1:3" ht="15" x14ac:dyDescent="0.25">
      <c r="A766" s="3" t="s">
        <v>532</v>
      </c>
      <c r="B766" s="3" t="s">
        <v>531</v>
      </c>
      <c r="C766" s="3" t="s">
        <v>105</v>
      </c>
    </row>
    <row r="767" spans="1:3" ht="15" x14ac:dyDescent="0.25">
      <c r="A767" s="3" t="s">
        <v>431</v>
      </c>
      <c r="B767" s="3" t="s">
        <v>531</v>
      </c>
      <c r="C767" s="3" t="s">
        <v>105</v>
      </c>
    </row>
    <row r="768" spans="1:3" ht="15" x14ac:dyDescent="0.25">
      <c r="A768" s="3" t="s">
        <v>295</v>
      </c>
      <c r="B768" s="3" t="s">
        <v>531</v>
      </c>
      <c r="C768" s="3" t="s">
        <v>105</v>
      </c>
    </row>
    <row r="769" spans="1:3" ht="15" x14ac:dyDescent="0.25">
      <c r="A769" s="3" t="s">
        <v>16</v>
      </c>
      <c r="B769" s="3" t="s">
        <v>531</v>
      </c>
      <c r="C769" s="3" t="s">
        <v>105</v>
      </c>
    </row>
    <row r="770" spans="1:3" ht="15" x14ac:dyDescent="0.25">
      <c r="A770" s="3" t="s">
        <v>533</v>
      </c>
      <c r="B770" s="3" t="s">
        <v>531</v>
      </c>
      <c r="C770" s="3" t="s">
        <v>105</v>
      </c>
    </row>
    <row r="771" spans="1:3" ht="15" x14ac:dyDescent="0.25">
      <c r="A771" s="3" t="s">
        <v>244</v>
      </c>
      <c r="B771" s="3" t="s">
        <v>531</v>
      </c>
      <c r="C771" s="3" t="s">
        <v>105</v>
      </c>
    </row>
    <row r="772" spans="1:3" ht="15" x14ac:dyDescent="0.25">
      <c r="A772" s="3" t="s">
        <v>139</v>
      </c>
      <c r="B772" s="3" t="s">
        <v>531</v>
      </c>
      <c r="C772" s="3" t="s">
        <v>105</v>
      </c>
    </row>
    <row r="773" spans="1:3" ht="15" x14ac:dyDescent="0.25">
      <c r="A773" s="3" t="s">
        <v>191</v>
      </c>
      <c r="B773" s="3" t="s">
        <v>531</v>
      </c>
      <c r="C773" s="3" t="s">
        <v>105</v>
      </c>
    </row>
    <row r="774" spans="1:3" ht="15" x14ac:dyDescent="0.25">
      <c r="A774" s="3" t="s">
        <v>350</v>
      </c>
      <c r="B774" s="3" t="s">
        <v>531</v>
      </c>
      <c r="C774" s="3" t="s">
        <v>105</v>
      </c>
    </row>
    <row r="775" spans="1:3" ht="15" x14ac:dyDescent="0.25">
      <c r="A775" s="3" t="s">
        <v>255</v>
      </c>
      <c r="B775" s="3" t="s">
        <v>531</v>
      </c>
      <c r="C775" s="3" t="s">
        <v>105</v>
      </c>
    </row>
    <row r="776" spans="1:3" ht="15" x14ac:dyDescent="0.25">
      <c r="A776" s="3" t="s">
        <v>256</v>
      </c>
      <c r="B776" s="3" t="s">
        <v>531</v>
      </c>
      <c r="C776" s="3" t="s">
        <v>105</v>
      </c>
    </row>
    <row r="777" spans="1:3" ht="15" x14ac:dyDescent="0.25">
      <c r="A777" s="3" t="s">
        <v>43</v>
      </c>
      <c r="B777" s="3" t="s">
        <v>531</v>
      </c>
      <c r="C777" s="3" t="s">
        <v>105</v>
      </c>
    </row>
    <row r="778" spans="1:3" ht="15" x14ac:dyDescent="0.25">
      <c r="A778" s="3" t="s">
        <v>220</v>
      </c>
      <c r="B778" s="3" t="s">
        <v>531</v>
      </c>
      <c r="C778" s="3" t="s">
        <v>105</v>
      </c>
    </row>
    <row r="779" spans="1:3" ht="15" x14ac:dyDescent="0.25">
      <c r="A779" s="3" t="s">
        <v>314</v>
      </c>
      <c r="B779" s="3" t="s">
        <v>531</v>
      </c>
      <c r="C779" s="3" t="s">
        <v>105</v>
      </c>
    </row>
    <row r="780" spans="1:3" ht="15" x14ac:dyDescent="0.25">
      <c r="A780" s="3" t="s">
        <v>364</v>
      </c>
      <c r="B780" s="3" t="s">
        <v>531</v>
      </c>
      <c r="C780" s="3" t="s">
        <v>105</v>
      </c>
    </row>
    <row r="781" spans="1:3" ht="15" x14ac:dyDescent="0.25">
      <c r="A781" s="3" t="s">
        <v>417</v>
      </c>
      <c r="B781" s="3" t="s">
        <v>531</v>
      </c>
      <c r="C781" s="3" t="s">
        <v>105</v>
      </c>
    </row>
    <row r="782" spans="1:3" ht="15" x14ac:dyDescent="0.25">
      <c r="A782" s="3" t="s">
        <v>223</v>
      </c>
      <c r="B782" s="3" t="s">
        <v>531</v>
      </c>
      <c r="C782" s="3" t="s">
        <v>105</v>
      </c>
    </row>
    <row r="783" spans="1:3" ht="15" x14ac:dyDescent="0.25">
      <c r="A783" s="3" t="s">
        <v>337</v>
      </c>
      <c r="B783" s="3" t="s">
        <v>531</v>
      </c>
      <c r="C783" s="3" t="s">
        <v>105</v>
      </c>
    </row>
    <row r="784" spans="1:3" ht="15" x14ac:dyDescent="0.25">
      <c r="A784" s="3" t="s">
        <v>150</v>
      </c>
      <c r="B784" s="3" t="s">
        <v>531</v>
      </c>
      <c r="C784" s="3" t="s">
        <v>105</v>
      </c>
    </row>
    <row r="785" spans="1:3" ht="15" x14ac:dyDescent="0.25">
      <c r="A785" s="3" t="s">
        <v>81</v>
      </c>
      <c r="B785" s="3" t="s">
        <v>531</v>
      </c>
      <c r="C785" s="3" t="s">
        <v>105</v>
      </c>
    </row>
    <row r="786" spans="1:3" ht="15" x14ac:dyDescent="0.25">
      <c r="A786" s="3" t="s">
        <v>391</v>
      </c>
      <c r="B786" s="3" t="s">
        <v>531</v>
      </c>
      <c r="C786" s="3" t="s">
        <v>105</v>
      </c>
    </row>
    <row r="787" spans="1:3" ht="15" x14ac:dyDescent="0.25">
      <c r="A787" s="3" t="s">
        <v>534</v>
      </c>
      <c r="B787" s="3" t="s">
        <v>531</v>
      </c>
      <c r="C787" s="3" t="s">
        <v>105</v>
      </c>
    </row>
    <row r="788" spans="1:3" ht="15" x14ac:dyDescent="0.25">
      <c r="A788" s="3" t="s">
        <v>327</v>
      </c>
      <c r="B788" s="3" t="s">
        <v>531</v>
      </c>
      <c r="C788" s="3" t="s">
        <v>105</v>
      </c>
    </row>
    <row r="789" spans="1:3" ht="15" x14ac:dyDescent="0.25">
      <c r="A789" s="3" t="s">
        <v>162</v>
      </c>
      <c r="B789" s="3" t="s">
        <v>531</v>
      </c>
      <c r="C789" s="3" t="s">
        <v>105</v>
      </c>
    </row>
    <row r="790" spans="1:3" ht="15" x14ac:dyDescent="0.25">
      <c r="A790" s="3" t="s">
        <v>163</v>
      </c>
      <c r="B790" s="3" t="s">
        <v>531</v>
      </c>
      <c r="C790" s="3" t="s">
        <v>105</v>
      </c>
    </row>
    <row r="791" spans="1:3" ht="15" x14ac:dyDescent="0.25">
      <c r="A791" s="3" t="s">
        <v>277</v>
      </c>
      <c r="B791" s="3" t="s">
        <v>531</v>
      </c>
      <c r="C791" s="3" t="s">
        <v>105</v>
      </c>
    </row>
    <row r="792" spans="1:3" ht="15" x14ac:dyDescent="0.25">
      <c r="A792" s="3" t="s">
        <v>98</v>
      </c>
      <c r="B792" s="3" t="s">
        <v>531</v>
      </c>
      <c r="C792" s="3" t="s">
        <v>105</v>
      </c>
    </row>
    <row r="793" spans="1:3" ht="15" x14ac:dyDescent="0.25">
      <c r="A793" s="3" t="s">
        <v>275</v>
      </c>
      <c r="B793" s="3" t="s">
        <v>531</v>
      </c>
      <c r="C793" s="3" t="s">
        <v>105</v>
      </c>
    </row>
    <row r="794" spans="1:3" ht="15" x14ac:dyDescent="0.25">
      <c r="A794" s="3" t="s">
        <v>278</v>
      </c>
      <c r="B794" s="3" t="s">
        <v>531</v>
      </c>
      <c r="C794" s="3" t="s">
        <v>105</v>
      </c>
    </row>
    <row r="795" spans="1:3" ht="15" x14ac:dyDescent="0.25">
      <c r="A795" s="3" t="s">
        <v>103</v>
      </c>
      <c r="B795" s="3" t="s">
        <v>535</v>
      </c>
      <c r="C795" s="3" t="s">
        <v>105</v>
      </c>
    </row>
    <row r="796" spans="1:3" ht="15" x14ac:dyDescent="0.25">
      <c r="A796" s="3" t="s">
        <v>185</v>
      </c>
      <c r="B796" s="3" t="s">
        <v>535</v>
      </c>
      <c r="C796" s="3" t="s">
        <v>105</v>
      </c>
    </row>
    <row r="797" spans="1:3" ht="15" x14ac:dyDescent="0.25">
      <c r="A797" s="3" t="s">
        <v>190</v>
      </c>
      <c r="B797" s="3" t="s">
        <v>535</v>
      </c>
      <c r="C797" s="3" t="s">
        <v>105</v>
      </c>
    </row>
    <row r="798" spans="1:3" ht="15" x14ac:dyDescent="0.25">
      <c r="A798" s="3" t="s">
        <v>106</v>
      </c>
      <c r="B798" s="3" t="s">
        <v>535</v>
      </c>
      <c r="C798" s="3" t="s">
        <v>105</v>
      </c>
    </row>
    <row r="799" spans="1:3" ht="15" x14ac:dyDescent="0.25">
      <c r="A799" s="3" t="s">
        <v>536</v>
      </c>
      <c r="B799" s="3" t="s">
        <v>535</v>
      </c>
      <c r="C799" s="3" t="s">
        <v>105</v>
      </c>
    </row>
    <row r="800" spans="1:3" ht="15" x14ac:dyDescent="0.25">
      <c r="A800" s="3" t="s">
        <v>27</v>
      </c>
      <c r="B800" s="3" t="s">
        <v>535</v>
      </c>
      <c r="C800" s="3" t="s">
        <v>105</v>
      </c>
    </row>
    <row r="801" spans="1:3" ht="15" x14ac:dyDescent="0.25">
      <c r="A801" s="3" t="s">
        <v>246</v>
      </c>
      <c r="B801" s="3" t="s">
        <v>535</v>
      </c>
      <c r="C801" s="3" t="s">
        <v>105</v>
      </c>
    </row>
    <row r="802" spans="1:3" ht="15" x14ac:dyDescent="0.25">
      <c r="A802" s="3" t="s">
        <v>247</v>
      </c>
      <c r="B802" s="3" t="s">
        <v>535</v>
      </c>
      <c r="C802" s="3" t="s">
        <v>105</v>
      </c>
    </row>
    <row r="803" spans="1:3" ht="15" x14ac:dyDescent="0.25">
      <c r="A803" s="3" t="s">
        <v>492</v>
      </c>
      <c r="B803" s="3" t="s">
        <v>535</v>
      </c>
      <c r="C803" s="3" t="s">
        <v>105</v>
      </c>
    </row>
    <row r="804" spans="1:3" ht="15" x14ac:dyDescent="0.25">
      <c r="A804" s="3" t="s">
        <v>449</v>
      </c>
      <c r="B804" s="3" t="s">
        <v>535</v>
      </c>
      <c r="C804" s="3" t="s">
        <v>105</v>
      </c>
    </row>
    <row r="805" spans="1:3" ht="15" x14ac:dyDescent="0.25">
      <c r="A805" s="3" t="s">
        <v>253</v>
      </c>
      <c r="B805" s="3" t="s">
        <v>535</v>
      </c>
      <c r="C805" s="3" t="s">
        <v>105</v>
      </c>
    </row>
    <row r="806" spans="1:3" ht="15" x14ac:dyDescent="0.25">
      <c r="A806" s="3" t="s">
        <v>195</v>
      </c>
      <c r="B806" s="3" t="s">
        <v>535</v>
      </c>
      <c r="C806" s="3" t="s">
        <v>105</v>
      </c>
    </row>
    <row r="807" spans="1:3" ht="15" x14ac:dyDescent="0.25">
      <c r="A807" s="3" t="s">
        <v>36</v>
      </c>
      <c r="B807" s="3" t="s">
        <v>535</v>
      </c>
      <c r="C807" s="3" t="s">
        <v>105</v>
      </c>
    </row>
    <row r="808" spans="1:3" ht="15" x14ac:dyDescent="0.25">
      <c r="A808" s="3" t="s">
        <v>254</v>
      </c>
      <c r="B808" s="3" t="s">
        <v>535</v>
      </c>
      <c r="C808" s="3" t="s">
        <v>105</v>
      </c>
    </row>
    <row r="809" spans="1:3" ht="15" x14ac:dyDescent="0.25">
      <c r="A809" s="3" t="s">
        <v>311</v>
      </c>
      <c r="B809" s="3" t="s">
        <v>535</v>
      </c>
      <c r="C809" s="3" t="s">
        <v>105</v>
      </c>
    </row>
    <row r="810" spans="1:3" ht="15" x14ac:dyDescent="0.25">
      <c r="A810" s="3" t="s">
        <v>221</v>
      </c>
      <c r="B810" s="3" t="s">
        <v>535</v>
      </c>
      <c r="C810" s="3" t="s">
        <v>105</v>
      </c>
    </row>
    <row r="811" spans="1:3" ht="15" x14ac:dyDescent="0.25">
      <c r="A811" s="3" t="s">
        <v>222</v>
      </c>
      <c r="B811" s="3" t="s">
        <v>535</v>
      </c>
      <c r="C811" s="3" t="s">
        <v>105</v>
      </c>
    </row>
    <row r="812" spans="1:3" ht="15" x14ac:dyDescent="0.25">
      <c r="A812" s="3" t="s">
        <v>52</v>
      </c>
      <c r="B812" s="3" t="s">
        <v>535</v>
      </c>
      <c r="C812" s="3" t="s">
        <v>105</v>
      </c>
    </row>
    <row r="813" spans="1:3" ht="15" x14ac:dyDescent="0.25">
      <c r="A813" s="3" t="s">
        <v>215</v>
      </c>
      <c r="B813" s="3" t="s">
        <v>535</v>
      </c>
      <c r="C813" s="3" t="s">
        <v>105</v>
      </c>
    </row>
    <row r="814" spans="1:3" ht="15" x14ac:dyDescent="0.25">
      <c r="A814" s="3" t="s">
        <v>55</v>
      </c>
      <c r="B814" s="3" t="s">
        <v>535</v>
      </c>
      <c r="C814" s="3" t="s">
        <v>105</v>
      </c>
    </row>
    <row r="815" spans="1:3" ht="15" x14ac:dyDescent="0.25">
      <c r="A815" s="3" t="s">
        <v>109</v>
      </c>
      <c r="B815" s="3" t="s">
        <v>535</v>
      </c>
      <c r="C815" s="3" t="s">
        <v>105</v>
      </c>
    </row>
    <row r="816" spans="1:3" ht="15" x14ac:dyDescent="0.25">
      <c r="A816" s="3" t="s">
        <v>111</v>
      </c>
      <c r="B816" s="3" t="s">
        <v>535</v>
      </c>
      <c r="C816" s="3" t="s">
        <v>105</v>
      </c>
    </row>
    <row r="817" spans="1:3" ht="15" x14ac:dyDescent="0.25">
      <c r="A817" s="3" t="s">
        <v>390</v>
      </c>
      <c r="B817" s="3" t="s">
        <v>535</v>
      </c>
      <c r="C817" s="3" t="s">
        <v>105</v>
      </c>
    </row>
    <row r="818" spans="1:3" ht="15" x14ac:dyDescent="0.25">
      <c r="A818" s="3" t="s">
        <v>70</v>
      </c>
      <c r="B818" s="3" t="s">
        <v>535</v>
      </c>
      <c r="C818" s="3" t="s">
        <v>105</v>
      </c>
    </row>
    <row r="819" spans="1:3" ht="15" x14ac:dyDescent="0.25">
      <c r="A819" s="3" t="s">
        <v>75</v>
      </c>
      <c r="B819" s="3" t="s">
        <v>535</v>
      </c>
      <c r="C819" s="3" t="s">
        <v>105</v>
      </c>
    </row>
    <row r="820" spans="1:3" ht="15" x14ac:dyDescent="0.25">
      <c r="A820" s="3" t="s">
        <v>268</v>
      </c>
      <c r="B820" s="3" t="s">
        <v>535</v>
      </c>
      <c r="C820" s="3" t="s">
        <v>105</v>
      </c>
    </row>
    <row r="821" spans="1:3" ht="15" x14ac:dyDescent="0.25">
      <c r="A821" s="3" t="s">
        <v>83</v>
      </c>
      <c r="B821" s="3" t="s">
        <v>535</v>
      </c>
      <c r="C821" s="3" t="s">
        <v>105</v>
      </c>
    </row>
    <row r="822" spans="1:3" ht="15" x14ac:dyDescent="0.25">
      <c r="A822" s="3" t="s">
        <v>85</v>
      </c>
      <c r="B822" s="3" t="s">
        <v>535</v>
      </c>
      <c r="C822" s="3" t="s">
        <v>105</v>
      </c>
    </row>
    <row r="823" spans="1:3" ht="15" x14ac:dyDescent="0.25">
      <c r="A823" s="3" t="s">
        <v>87</v>
      </c>
      <c r="B823" s="3" t="s">
        <v>535</v>
      </c>
      <c r="C823" s="3" t="s">
        <v>105</v>
      </c>
    </row>
    <row r="824" spans="1:3" ht="15" x14ac:dyDescent="0.25">
      <c r="A824" s="3" t="s">
        <v>88</v>
      </c>
      <c r="B824" s="3" t="s">
        <v>535</v>
      </c>
      <c r="C824" s="3" t="s">
        <v>105</v>
      </c>
    </row>
    <row r="825" spans="1:3" ht="15" x14ac:dyDescent="0.25">
      <c r="A825" s="3" t="s">
        <v>92</v>
      </c>
      <c r="B825" s="3" t="s">
        <v>535</v>
      </c>
      <c r="C825" s="3" t="s">
        <v>105</v>
      </c>
    </row>
    <row r="826" spans="1:3" ht="15" x14ac:dyDescent="0.25">
      <c r="A826" s="3" t="s">
        <v>118</v>
      </c>
      <c r="B826" s="3" t="s">
        <v>535</v>
      </c>
      <c r="C826" s="3" t="s">
        <v>105</v>
      </c>
    </row>
    <row r="827" spans="1:3" ht="15" x14ac:dyDescent="0.25">
      <c r="A827" s="3" t="s">
        <v>376</v>
      </c>
      <c r="B827" s="3" t="s">
        <v>535</v>
      </c>
      <c r="C827" s="3" t="s">
        <v>105</v>
      </c>
    </row>
    <row r="828" spans="1:3" ht="15" x14ac:dyDescent="0.25">
      <c r="A828" s="3" t="s">
        <v>537</v>
      </c>
      <c r="B828" s="3" t="s">
        <v>535</v>
      </c>
      <c r="C828" s="3" t="s">
        <v>105</v>
      </c>
    </row>
    <row r="829" spans="1:3" ht="15" x14ac:dyDescent="0.25">
      <c r="A829" s="3" t="s">
        <v>331</v>
      </c>
      <c r="B829" s="3" t="s">
        <v>535</v>
      </c>
      <c r="C829" s="3" t="s">
        <v>105</v>
      </c>
    </row>
    <row r="830" spans="1:3" ht="15" x14ac:dyDescent="0.25">
      <c r="A830" s="3" t="s">
        <v>508</v>
      </c>
      <c r="B830" s="3" t="s">
        <v>535</v>
      </c>
      <c r="C830" s="3" t="s">
        <v>105</v>
      </c>
    </row>
    <row r="831" spans="1:3" ht="15" x14ac:dyDescent="0.25">
      <c r="A831" s="3" t="s">
        <v>102</v>
      </c>
      <c r="B831" s="3" t="s">
        <v>535</v>
      </c>
      <c r="C831" s="3" t="s">
        <v>105</v>
      </c>
    </row>
    <row r="832" spans="1:3" ht="15" x14ac:dyDescent="0.25">
      <c r="A832" s="3" t="s">
        <v>233</v>
      </c>
      <c r="B832" s="3" t="s">
        <v>538</v>
      </c>
      <c r="C832" s="3" t="s">
        <v>168</v>
      </c>
    </row>
    <row r="833" spans="1:3" ht="15" x14ac:dyDescent="0.25">
      <c r="A833" s="3" t="s">
        <v>186</v>
      </c>
      <c r="B833" s="3" t="s">
        <v>538</v>
      </c>
      <c r="C833" s="3" t="s">
        <v>168</v>
      </c>
    </row>
    <row r="834" spans="1:3" ht="15" x14ac:dyDescent="0.25">
      <c r="A834" s="3" t="s">
        <v>219</v>
      </c>
      <c r="B834" s="3" t="s">
        <v>538</v>
      </c>
      <c r="C834" s="3" t="s">
        <v>168</v>
      </c>
    </row>
    <row r="835" spans="1:3" ht="15" x14ac:dyDescent="0.25">
      <c r="A835" s="3" t="s">
        <v>539</v>
      </c>
      <c r="B835" s="3" t="s">
        <v>538</v>
      </c>
      <c r="C835" s="3" t="s">
        <v>168</v>
      </c>
    </row>
    <row r="836" spans="1:3" ht="15" x14ac:dyDescent="0.25">
      <c r="A836" s="3" t="s">
        <v>208</v>
      </c>
      <c r="B836" s="3" t="s">
        <v>538</v>
      </c>
      <c r="C836" s="3" t="s">
        <v>168</v>
      </c>
    </row>
    <row r="837" spans="1:3" ht="15" x14ac:dyDescent="0.25">
      <c r="A837" s="3" t="s">
        <v>209</v>
      </c>
      <c r="B837" s="3" t="s">
        <v>540</v>
      </c>
      <c r="C837" s="3" t="s">
        <v>105</v>
      </c>
    </row>
    <row r="838" spans="1:3" ht="15" x14ac:dyDescent="0.25">
      <c r="A838" s="3" t="s">
        <v>286</v>
      </c>
      <c r="B838" s="3" t="s">
        <v>540</v>
      </c>
      <c r="C838" s="3" t="s">
        <v>105</v>
      </c>
    </row>
    <row r="839" spans="1:3" ht="15" x14ac:dyDescent="0.25">
      <c r="A839" s="3" t="s">
        <v>291</v>
      </c>
      <c r="B839" s="3" t="s">
        <v>540</v>
      </c>
      <c r="C839" s="3" t="s">
        <v>105</v>
      </c>
    </row>
    <row r="840" spans="1:3" ht="15" x14ac:dyDescent="0.25">
      <c r="A840" s="3" t="s">
        <v>212</v>
      </c>
      <c r="B840" s="3" t="s">
        <v>540</v>
      </c>
      <c r="C840" s="3" t="s">
        <v>105</v>
      </c>
    </row>
    <row r="841" spans="1:3" ht="15" x14ac:dyDescent="0.25">
      <c r="A841" s="3" t="s">
        <v>169</v>
      </c>
      <c r="B841" s="3" t="s">
        <v>540</v>
      </c>
      <c r="C841" s="3" t="s">
        <v>105</v>
      </c>
    </row>
    <row r="842" spans="1:3" ht="15" x14ac:dyDescent="0.25">
      <c r="A842" s="3" t="s">
        <v>138</v>
      </c>
      <c r="B842" s="3" t="s">
        <v>540</v>
      </c>
      <c r="C842" s="3" t="s">
        <v>105</v>
      </c>
    </row>
    <row r="843" spans="1:3" ht="15" x14ac:dyDescent="0.25">
      <c r="A843" s="3" t="s">
        <v>241</v>
      </c>
      <c r="B843" s="3" t="s">
        <v>540</v>
      </c>
      <c r="C843" s="3" t="s">
        <v>105</v>
      </c>
    </row>
    <row r="844" spans="1:3" ht="15" x14ac:dyDescent="0.25">
      <c r="A844" s="3" t="s">
        <v>214</v>
      </c>
      <c r="B844" s="3" t="s">
        <v>540</v>
      </c>
      <c r="C844" s="3" t="s">
        <v>105</v>
      </c>
    </row>
    <row r="845" spans="1:3" ht="15" x14ac:dyDescent="0.25">
      <c r="A845" s="3" t="s">
        <v>25</v>
      </c>
      <c r="B845" s="3" t="s">
        <v>540</v>
      </c>
      <c r="C845" s="3" t="s">
        <v>105</v>
      </c>
    </row>
    <row r="846" spans="1:3" ht="15" x14ac:dyDescent="0.25">
      <c r="A846" s="3" t="s">
        <v>298</v>
      </c>
      <c r="B846" s="3" t="s">
        <v>540</v>
      </c>
      <c r="C846" s="3" t="s">
        <v>105</v>
      </c>
    </row>
    <row r="847" spans="1:3" ht="15" x14ac:dyDescent="0.25">
      <c r="A847" s="3" t="s">
        <v>541</v>
      </c>
      <c r="B847" s="3" t="s">
        <v>540</v>
      </c>
      <c r="C847" s="3" t="s">
        <v>105</v>
      </c>
    </row>
    <row r="848" spans="1:3" ht="15" x14ac:dyDescent="0.25">
      <c r="A848" s="3" t="s">
        <v>516</v>
      </c>
      <c r="B848" s="3" t="s">
        <v>540</v>
      </c>
      <c r="C848" s="3" t="s">
        <v>105</v>
      </c>
    </row>
    <row r="849" spans="1:3" ht="15" x14ac:dyDescent="0.25">
      <c r="A849" s="3" t="s">
        <v>33</v>
      </c>
      <c r="B849" s="3" t="s">
        <v>540</v>
      </c>
      <c r="C849" s="3" t="s">
        <v>105</v>
      </c>
    </row>
    <row r="850" spans="1:3" ht="15" x14ac:dyDescent="0.25">
      <c r="A850" s="3" t="s">
        <v>542</v>
      </c>
      <c r="B850" s="3" t="s">
        <v>540</v>
      </c>
      <c r="C850" s="3" t="s">
        <v>105</v>
      </c>
    </row>
    <row r="851" spans="1:3" ht="15" x14ac:dyDescent="0.25">
      <c r="A851" s="3" t="s">
        <v>141</v>
      </c>
      <c r="B851" s="3" t="s">
        <v>540</v>
      </c>
      <c r="C851" s="3" t="s">
        <v>105</v>
      </c>
    </row>
    <row r="852" spans="1:3" ht="15" x14ac:dyDescent="0.25">
      <c r="A852" s="3" t="s">
        <v>308</v>
      </c>
      <c r="B852" s="3" t="s">
        <v>540</v>
      </c>
      <c r="C852" s="3" t="s">
        <v>105</v>
      </c>
    </row>
    <row r="853" spans="1:3" ht="15" x14ac:dyDescent="0.25">
      <c r="A853" s="3" t="s">
        <v>174</v>
      </c>
      <c r="B853" s="3" t="s">
        <v>540</v>
      </c>
      <c r="C853" s="3" t="s">
        <v>105</v>
      </c>
    </row>
    <row r="854" spans="1:3" ht="15" x14ac:dyDescent="0.25">
      <c r="A854" s="3" t="s">
        <v>175</v>
      </c>
      <c r="B854" s="3" t="s">
        <v>540</v>
      </c>
      <c r="C854" s="3" t="s">
        <v>105</v>
      </c>
    </row>
    <row r="855" spans="1:3" ht="15" x14ac:dyDescent="0.25">
      <c r="A855" s="3" t="s">
        <v>200</v>
      </c>
      <c r="B855" s="3" t="s">
        <v>540</v>
      </c>
      <c r="C855" s="3" t="s">
        <v>105</v>
      </c>
    </row>
    <row r="856" spans="1:3" ht="15" x14ac:dyDescent="0.25">
      <c r="A856" s="3" t="s">
        <v>317</v>
      </c>
      <c r="B856" s="3" t="s">
        <v>540</v>
      </c>
      <c r="C856" s="3" t="s">
        <v>105</v>
      </c>
    </row>
    <row r="857" spans="1:3" ht="15" x14ac:dyDescent="0.25">
      <c r="A857" s="3" t="s">
        <v>398</v>
      </c>
      <c r="B857" s="3" t="s">
        <v>540</v>
      </c>
      <c r="C857" s="3" t="s">
        <v>105</v>
      </c>
    </row>
    <row r="858" spans="1:3" ht="15" x14ac:dyDescent="0.25">
      <c r="A858" s="3" t="s">
        <v>341</v>
      </c>
      <c r="B858" s="3" t="s">
        <v>540</v>
      </c>
      <c r="C858" s="3" t="s">
        <v>105</v>
      </c>
    </row>
    <row r="859" spans="1:3" ht="15" x14ac:dyDescent="0.25">
      <c r="A859" s="3" t="s">
        <v>261</v>
      </c>
      <c r="B859" s="3" t="s">
        <v>540</v>
      </c>
      <c r="C859" s="3" t="s">
        <v>105</v>
      </c>
    </row>
    <row r="860" spans="1:3" ht="15" x14ac:dyDescent="0.25">
      <c r="A860" s="3" t="s">
        <v>343</v>
      </c>
      <c r="B860" s="3" t="s">
        <v>540</v>
      </c>
      <c r="C860" s="3" t="s">
        <v>105</v>
      </c>
    </row>
    <row r="861" spans="1:3" ht="15" x14ac:dyDescent="0.25">
      <c r="A861" s="3" t="s">
        <v>323</v>
      </c>
      <c r="B861" s="3" t="s">
        <v>540</v>
      </c>
      <c r="C861" s="3" t="s">
        <v>105</v>
      </c>
    </row>
    <row r="862" spans="1:3" ht="15" x14ac:dyDescent="0.25">
      <c r="A862" s="3" t="s">
        <v>344</v>
      </c>
      <c r="B862" s="3" t="s">
        <v>540</v>
      </c>
      <c r="C862" s="3" t="s">
        <v>105</v>
      </c>
    </row>
    <row r="863" spans="1:3" ht="15" x14ac:dyDescent="0.25">
      <c r="A863" s="3" t="s">
        <v>91</v>
      </c>
      <c r="B863" s="3" t="s">
        <v>540</v>
      </c>
      <c r="C863" s="3" t="s">
        <v>105</v>
      </c>
    </row>
    <row r="864" spans="1:3" ht="15" x14ac:dyDescent="0.25">
      <c r="A864" s="3" t="s">
        <v>227</v>
      </c>
      <c r="B864" s="3" t="s">
        <v>540</v>
      </c>
      <c r="C864" s="3" t="s">
        <v>105</v>
      </c>
    </row>
    <row r="865" spans="1:3" ht="15" x14ac:dyDescent="0.25">
      <c r="A865" s="3" t="s">
        <v>270</v>
      </c>
      <c r="B865" s="3" t="s">
        <v>540</v>
      </c>
      <c r="C865" s="3" t="s">
        <v>105</v>
      </c>
    </row>
    <row r="866" spans="1:3" ht="15" x14ac:dyDescent="0.25">
      <c r="A866" s="3" t="s">
        <v>271</v>
      </c>
      <c r="B866" s="3" t="s">
        <v>540</v>
      </c>
      <c r="C866" s="3" t="s">
        <v>105</v>
      </c>
    </row>
    <row r="867" spans="1:3" ht="15" x14ac:dyDescent="0.25">
      <c r="A867" s="3" t="s">
        <v>95</v>
      </c>
      <c r="B867" s="3" t="s">
        <v>540</v>
      </c>
      <c r="C867" s="3" t="s">
        <v>105</v>
      </c>
    </row>
    <row r="868" spans="1:3" ht="15" x14ac:dyDescent="0.25">
      <c r="A868" s="3" t="s">
        <v>203</v>
      </c>
      <c r="B868" s="3" t="s">
        <v>540</v>
      </c>
      <c r="C868" s="3" t="s">
        <v>105</v>
      </c>
    </row>
    <row r="869" spans="1:3" ht="15" x14ac:dyDescent="0.25">
      <c r="A869" s="3" t="s">
        <v>384</v>
      </c>
      <c r="B869" s="3" t="s">
        <v>540</v>
      </c>
      <c r="C869" s="3" t="s">
        <v>105</v>
      </c>
    </row>
    <row r="870" spans="1:3" ht="15" x14ac:dyDescent="0.25">
      <c r="A870" s="3" t="s">
        <v>228</v>
      </c>
      <c r="B870" s="3" t="s">
        <v>540</v>
      </c>
      <c r="C870" s="3" t="s">
        <v>105</v>
      </c>
    </row>
    <row r="871" spans="1:3" ht="15" x14ac:dyDescent="0.25">
      <c r="A871" s="3" t="s">
        <v>119</v>
      </c>
      <c r="B871" s="3" t="s">
        <v>540</v>
      </c>
      <c r="C871" s="3" t="s">
        <v>105</v>
      </c>
    </row>
    <row r="872" spans="1:3" ht="15" x14ac:dyDescent="0.25">
      <c r="A872" s="3" t="s">
        <v>181</v>
      </c>
      <c r="B872" s="3" t="s">
        <v>540</v>
      </c>
      <c r="C872" s="3" t="s">
        <v>105</v>
      </c>
    </row>
    <row r="873" spans="1:3" ht="15" x14ac:dyDescent="0.25">
      <c r="A873" s="3" t="s">
        <v>204</v>
      </c>
      <c r="B873" s="3" t="s">
        <v>540</v>
      </c>
      <c r="C873" s="3" t="s">
        <v>105</v>
      </c>
    </row>
    <row r="874" spans="1:3" ht="15" x14ac:dyDescent="0.25">
      <c r="A874" s="3" t="s">
        <v>145</v>
      </c>
      <c r="B874" s="3" t="s">
        <v>540</v>
      </c>
      <c r="C874" s="3" t="s">
        <v>105</v>
      </c>
    </row>
    <row r="875" spans="1:3" ht="15" x14ac:dyDescent="0.25">
      <c r="A875" s="3" t="s">
        <v>405</v>
      </c>
      <c r="B875" s="3" t="s">
        <v>540</v>
      </c>
      <c r="C875" s="3" t="s">
        <v>105</v>
      </c>
    </row>
    <row r="876" spans="1:3" ht="15" x14ac:dyDescent="0.25">
      <c r="A876" s="3" t="s">
        <v>207</v>
      </c>
      <c r="B876" s="3" t="s">
        <v>543</v>
      </c>
      <c r="C876" s="3" t="s">
        <v>105</v>
      </c>
    </row>
    <row r="877" spans="1:3" ht="15" x14ac:dyDescent="0.25">
      <c r="A877" s="3" t="s">
        <v>8</v>
      </c>
      <c r="B877" s="3" t="s">
        <v>543</v>
      </c>
      <c r="C877" s="3" t="s">
        <v>105</v>
      </c>
    </row>
    <row r="878" spans="1:3" ht="15" x14ac:dyDescent="0.25">
      <c r="A878" s="3" t="s">
        <v>187</v>
      </c>
      <c r="B878" s="3" t="s">
        <v>543</v>
      </c>
      <c r="C878" s="3" t="s">
        <v>105</v>
      </c>
    </row>
    <row r="879" spans="1:3" ht="15" x14ac:dyDescent="0.25">
      <c r="A879" s="3" t="s">
        <v>188</v>
      </c>
      <c r="B879" s="3" t="s">
        <v>543</v>
      </c>
      <c r="C879" s="3" t="s">
        <v>105</v>
      </c>
    </row>
    <row r="880" spans="1:3" ht="15" x14ac:dyDescent="0.25">
      <c r="A880" s="3" t="s">
        <v>410</v>
      </c>
      <c r="B880" s="3" t="s">
        <v>543</v>
      </c>
      <c r="C880" s="3" t="s">
        <v>105</v>
      </c>
    </row>
    <row r="881" spans="1:3" ht="15" x14ac:dyDescent="0.25">
      <c r="A881" s="3" t="s">
        <v>164</v>
      </c>
      <c r="B881" s="3" t="s">
        <v>543</v>
      </c>
      <c r="C881" s="3" t="s">
        <v>105</v>
      </c>
    </row>
    <row r="882" spans="1:3" ht="15" x14ac:dyDescent="0.25">
      <c r="A882" s="3" t="s">
        <v>129</v>
      </c>
      <c r="B882" s="3" t="s">
        <v>543</v>
      </c>
      <c r="C882" s="3" t="s">
        <v>105</v>
      </c>
    </row>
    <row r="883" spans="1:3" ht="15" x14ac:dyDescent="0.25">
      <c r="A883" s="3" t="s">
        <v>211</v>
      </c>
      <c r="B883" s="3" t="s">
        <v>543</v>
      </c>
      <c r="C883" s="3" t="s">
        <v>105</v>
      </c>
    </row>
    <row r="884" spans="1:3" ht="15" x14ac:dyDescent="0.25">
      <c r="A884" s="3" t="s">
        <v>532</v>
      </c>
      <c r="B884" s="3" t="s">
        <v>543</v>
      </c>
      <c r="C884" s="3" t="s">
        <v>105</v>
      </c>
    </row>
    <row r="885" spans="1:3" ht="15" x14ac:dyDescent="0.25">
      <c r="A885" s="3" t="s">
        <v>431</v>
      </c>
      <c r="B885" s="3" t="s">
        <v>543</v>
      </c>
      <c r="C885" s="3" t="s">
        <v>105</v>
      </c>
    </row>
    <row r="886" spans="1:3" ht="15" x14ac:dyDescent="0.25">
      <c r="A886" s="3" t="s">
        <v>170</v>
      </c>
      <c r="B886" s="3" t="s">
        <v>543</v>
      </c>
      <c r="C886" s="3" t="s">
        <v>105</v>
      </c>
    </row>
    <row r="887" spans="1:3" ht="15" x14ac:dyDescent="0.25">
      <c r="A887" s="3" t="s">
        <v>244</v>
      </c>
      <c r="B887" s="3" t="s">
        <v>543</v>
      </c>
      <c r="C887" s="3" t="s">
        <v>105</v>
      </c>
    </row>
    <row r="888" spans="1:3" ht="15" x14ac:dyDescent="0.25">
      <c r="A888" s="3" t="s">
        <v>139</v>
      </c>
      <c r="B888" s="3" t="s">
        <v>543</v>
      </c>
      <c r="C888" s="3" t="s">
        <v>105</v>
      </c>
    </row>
    <row r="889" spans="1:3" ht="15" x14ac:dyDescent="0.25">
      <c r="A889" s="3" t="s">
        <v>191</v>
      </c>
      <c r="B889" s="3" t="s">
        <v>543</v>
      </c>
      <c r="C889" s="3" t="s">
        <v>105</v>
      </c>
    </row>
    <row r="890" spans="1:3" ht="15" x14ac:dyDescent="0.25">
      <c r="A890" s="3" t="s">
        <v>146</v>
      </c>
      <c r="B890" s="3" t="s">
        <v>543</v>
      </c>
      <c r="C890" s="3" t="s">
        <v>105</v>
      </c>
    </row>
    <row r="891" spans="1:3" ht="15" x14ac:dyDescent="0.25">
      <c r="A891" s="3" t="s">
        <v>128</v>
      </c>
      <c r="B891" s="3" t="s">
        <v>543</v>
      </c>
      <c r="C891" s="3" t="s">
        <v>105</v>
      </c>
    </row>
    <row r="892" spans="1:3" ht="15" x14ac:dyDescent="0.25">
      <c r="A892" s="3" t="s">
        <v>255</v>
      </c>
      <c r="B892" s="3" t="s">
        <v>543</v>
      </c>
      <c r="C892" s="3" t="s">
        <v>105</v>
      </c>
    </row>
    <row r="893" spans="1:3" ht="15" x14ac:dyDescent="0.25">
      <c r="A893" s="3" t="s">
        <v>256</v>
      </c>
      <c r="B893" s="3" t="s">
        <v>543</v>
      </c>
      <c r="C893" s="3" t="s">
        <v>105</v>
      </c>
    </row>
    <row r="894" spans="1:3" ht="15" x14ac:dyDescent="0.25">
      <c r="A894" s="3" t="s">
        <v>38</v>
      </c>
      <c r="B894" s="3" t="s">
        <v>543</v>
      </c>
      <c r="C894" s="3" t="s">
        <v>105</v>
      </c>
    </row>
    <row r="895" spans="1:3" ht="15" x14ac:dyDescent="0.25">
      <c r="A895" s="3" t="s">
        <v>46</v>
      </c>
      <c r="B895" s="3" t="s">
        <v>543</v>
      </c>
      <c r="C895" s="3" t="s">
        <v>105</v>
      </c>
    </row>
    <row r="896" spans="1:3" ht="15" x14ac:dyDescent="0.25">
      <c r="A896" s="3" t="s">
        <v>545</v>
      </c>
      <c r="B896" s="3" t="s">
        <v>543</v>
      </c>
      <c r="C896" s="3" t="s">
        <v>105</v>
      </c>
    </row>
    <row r="897" spans="1:3" ht="15" x14ac:dyDescent="0.25">
      <c r="A897" s="3" t="s">
        <v>419</v>
      </c>
      <c r="B897" s="3" t="s">
        <v>543</v>
      </c>
      <c r="C897" s="3" t="s">
        <v>105</v>
      </c>
    </row>
    <row r="898" spans="1:3" ht="15" x14ac:dyDescent="0.25">
      <c r="A898" s="3" t="s">
        <v>223</v>
      </c>
      <c r="B898" s="3" t="s">
        <v>543</v>
      </c>
      <c r="C898" s="3" t="s">
        <v>105</v>
      </c>
    </row>
    <row r="899" spans="1:3" ht="15" x14ac:dyDescent="0.25">
      <c r="A899" s="3" t="s">
        <v>337</v>
      </c>
      <c r="B899" s="3" t="s">
        <v>543</v>
      </c>
      <c r="C899" s="3" t="s">
        <v>105</v>
      </c>
    </row>
    <row r="900" spans="1:3" ht="15" x14ac:dyDescent="0.25">
      <c r="A900" s="3" t="s">
        <v>318</v>
      </c>
      <c r="B900" s="3" t="s">
        <v>543</v>
      </c>
      <c r="C900" s="3" t="s">
        <v>105</v>
      </c>
    </row>
    <row r="901" spans="1:3" ht="15" x14ac:dyDescent="0.25">
      <c r="A901" s="3" t="s">
        <v>59</v>
      </c>
      <c r="B901" s="3" t="s">
        <v>543</v>
      </c>
      <c r="C901" s="3" t="s">
        <v>105</v>
      </c>
    </row>
    <row r="902" spans="1:3" ht="15" x14ac:dyDescent="0.25">
      <c r="A902" s="3" t="s">
        <v>225</v>
      </c>
      <c r="B902" s="3" t="s">
        <v>543</v>
      </c>
      <c r="C902" s="3" t="s">
        <v>105</v>
      </c>
    </row>
    <row r="903" spans="1:3" ht="15" x14ac:dyDescent="0.25">
      <c r="A903" s="3" t="s">
        <v>81</v>
      </c>
      <c r="B903" s="3" t="s">
        <v>543</v>
      </c>
      <c r="C903" s="3" t="s">
        <v>105</v>
      </c>
    </row>
    <row r="904" spans="1:3" ht="15" x14ac:dyDescent="0.25">
      <c r="A904" s="3" t="s">
        <v>391</v>
      </c>
      <c r="B904" s="3" t="s">
        <v>543</v>
      </c>
      <c r="C904" s="3" t="s">
        <v>105</v>
      </c>
    </row>
    <row r="905" spans="1:3" ht="15" x14ac:dyDescent="0.25">
      <c r="A905" s="3" t="s">
        <v>534</v>
      </c>
      <c r="B905" s="3" t="s">
        <v>543</v>
      </c>
      <c r="C905" s="3" t="s">
        <v>105</v>
      </c>
    </row>
    <row r="906" spans="1:3" ht="15" x14ac:dyDescent="0.25">
      <c r="A906" s="3" t="s">
        <v>355</v>
      </c>
      <c r="B906" s="3" t="s">
        <v>543</v>
      </c>
      <c r="C906" s="3" t="s">
        <v>105</v>
      </c>
    </row>
    <row r="907" spans="1:3" ht="15" x14ac:dyDescent="0.25">
      <c r="A907" s="3" t="s">
        <v>245</v>
      </c>
      <c r="B907" s="3" t="s">
        <v>543</v>
      </c>
      <c r="C907" s="3" t="s">
        <v>105</v>
      </c>
    </row>
    <row r="908" spans="1:3" ht="15" x14ac:dyDescent="0.25">
      <c r="A908" s="3" t="s">
        <v>273</v>
      </c>
      <c r="B908" s="3" t="s">
        <v>543</v>
      </c>
      <c r="C908" s="3" t="s">
        <v>105</v>
      </c>
    </row>
    <row r="909" spans="1:3" ht="15" x14ac:dyDescent="0.25">
      <c r="A909" s="3" t="s">
        <v>539</v>
      </c>
      <c r="B909" s="3" t="s">
        <v>543</v>
      </c>
      <c r="C909" s="3" t="s">
        <v>105</v>
      </c>
    </row>
    <row r="910" spans="1:3" ht="15" x14ac:dyDescent="0.25">
      <c r="A910" s="3" t="s">
        <v>230</v>
      </c>
      <c r="B910" s="3" t="s">
        <v>543</v>
      </c>
      <c r="C910" s="3" t="s">
        <v>105</v>
      </c>
    </row>
    <row r="911" spans="1:3" ht="15" x14ac:dyDescent="0.25">
      <c r="A911" s="3" t="s">
        <v>410</v>
      </c>
      <c r="B911" s="3" t="s">
        <v>557</v>
      </c>
      <c r="C911" s="3" t="s">
        <v>105</v>
      </c>
    </row>
    <row r="912" spans="1:3" ht="15" x14ac:dyDescent="0.25">
      <c r="A912" s="3" t="s">
        <v>287</v>
      </c>
      <c r="B912" s="3" t="s">
        <v>557</v>
      </c>
      <c r="C912" s="3" t="s">
        <v>105</v>
      </c>
    </row>
    <row r="913" spans="1:3" ht="15" x14ac:dyDescent="0.25">
      <c r="A913" s="3" t="s">
        <v>292</v>
      </c>
      <c r="B913" s="3" t="s">
        <v>557</v>
      </c>
      <c r="C913" s="3" t="s">
        <v>105</v>
      </c>
    </row>
    <row r="914" spans="1:3" ht="15" x14ac:dyDescent="0.25">
      <c r="A914" s="3" t="s">
        <v>293</v>
      </c>
      <c r="B914" s="3" t="s">
        <v>557</v>
      </c>
      <c r="C914" s="3" t="s">
        <v>105</v>
      </c>
    </row>
    <row r="915" spans="1:3" ht="15" x14ac:dyDescent="0.25">
      <c r="A915" s="3" t="s">
        <v>294</v>
      </c>
      <c r="B915" s="3" t="s">
        <v>557</v>
      </c>
      <c r="C915" s="3" t="s">
        <v>105</v>
      </c>
    </row>
    <row r="916" spans="1:3" ht="15" x14ac:dyDescent="0.25">
      <c r="A916" s="3" t="s">
        <v>138</v>
      </c>
      <c r="B916" s="3" t="s">
        <v>557</v>
      </c>
      <c r="C916" s="3" t="s">
        <v>105</v>
      </c>
    </row>
    <row r="917" spans="1:3" ht="15" x14ac:dyDescent="0.25">
      <c r="A917" s="3" t="s">
        <v>25</v>
      </c>
      <c r="B917" s="3" t="s">
        <v>557</v>
      </c>
      <c r="C917" s="3" t="s">
        <v>105</v>
      </c>
    </row>
    <row r="918" spans="1:3" ht="15" x14ac:dyDescent="0.25">
      <c r="A918" s="3" t="s">
        <v>243</v>
      </c>
      <c r="B918" s="3" t="s">
        <v>557</v>
      </c>
      <c r="C918" s="3" t="s">
        <v>105</v>
      </c>
    </row>
    <row r="919" spans="1:3" ht="15" x14ac:dyDescent="0.25">
      <c r="A919" s="3" t="s">
        <v>31</v>
      </c>
      <c r="B919" s="3" t="s">
        <v>557</v>
      </c>
      <c r="C919" s="3" t="s">
        <v>105</v>
      </c>
    </row>
    <row r="920" spans="1:3" ht="15" x14ac:dyDescent="0.25">
      <c r="A920" s="3" t="s">
        <v>564</v>
      </c>
      <c r="B920" s="3" t="s">
        <v>557</v>
      </c>
      <c r="C920" s="3" t="s">
        <v>105</v>
      </c>
    </row>
    <row r="921" spans="1:3" ht="15" x14ac:dyDescent="0.25">
      <c r="A921" s="3" t="s">
        <v>313</v>
      </c>
      <c r="B921" s="3" t="s">
        <v>557</v>
      </c>
      <c r="C921" s="3" t="s">
        <v>105</v>
      </c>
    </row>
    <row r="922" spans="1:3" ht="15" x14ac:dyDescent="0.25">
      <c r="A922" s="3" t="s">
        <v>318</v>
      </c>
      <c r="B922" s="3" t="s">
        <v>557</v>
      </c>
      <c r="C922" s="3" t="s">
        <v>105</v>
      </c>
    </row>
    <row r="923" spans="1:3" ht="15" x14ac:dyDescent="0.25">
      <c r="A923" s="3" t="s">
        <v>269</v>
      </c>
      <c r="B923" s="3" t="s">
        <v>557</v>
      </c>
      <c r="C923" s="3" t="s">
        <v>105</v>
      </c>
    </row>
    <row r="924" spans="1:3" ht="15" x14ac:dyDescent="0.25">
      <c r="A924" s="3" t="s">
        <v>102</v>
      </c>
      <c r="B924" s="3" t="s">
        <v>557</v>
      </c>
      <c r="C924" s="3" t="s">
        <v>105</v>
      </c>
    </row>
    <row r="925" spans="1:3" ht="15" x14ac:dyDescent="0.25">
      <c r="A925" s="3" t="s">
        <v>233</v>
      </c>
      <c r="B925" s="3" t="s">
        <v>566</v>
      </c>
      <c r="C925" s="3" t="s">
        <v>105</v>
      </c>
    </row>
    <row r="926" spans="1:3" ht="15" x14ac:dyDescent="0.25">
      <c r="A926" s="3" t="s">
        <v>8</v>
      </c>
      <c r="B926" s="3" t="s">
        <v>566</v>
      </c>
      <c r="C926" s="3" t="s">
        <v>105</v>
      </c>
    </row>
    <row r="927" spans="1:3" ht="15" x14ac:dyDescent="0.25">
      <c r="A927" s="3" t="s">
        <v>124</v>
      </c>
      <c r="B927" s="3" t="s">
        <v>566</v>
      </c>
      <c r="C927" s="3" t="s">
        <v>105</v>
      </c>
    </row>
    <row r="928" spans="1:3" ht="15" x14ac:dyDescent="0.25">
      <c r="A928" s="3" t="s">
        <v>283</v>
      </c>
      <c r="B928" s="3" t="s">
        <v>566</v>
      </c>
      <c r="C928" s="3" t="s">
        <v>105</v>
      </c>
    </row>
    <row r="929" spans="1:3" ht="15" x14ac:dyDescent="0.25">
      <c r="A929" s="3" t="s">
        <v>11</v>
      </c>
      <c r="B929" s="3" t="s">
        <v>566</v>
      </c>
      <c r="C929" s="3" t="s">
        <v>105</v>
      </c>
    </row>
    <row r="930" spans="1:3" ht="15" x14ac:dyDescent="0.25">
      <c r="A930" s="3" t="s">
        <v>284</v>
      </c>
      <c r="B930" s="3" t="s">
        <v>566</v>
      </c>
      <c r="C930" s="3" t="s">
        <v>105</v>
      </c>
    </row>
    <row r="931" spans="1:3" ht="15" x14ac:dyDescent="0.25">
      <c r="A931" s="3" t="s">
        <v>285</v>
      </c>
      <c r="B931" s="3" t="s">
        <v>566</v>
      </c>
      <c r="C931" s="3" t="s">
        <v>105</v>
      </c>
    </row>
    <row r="932" spans="1:3" ht="15" x14ac:dyDescent="0.25">
      <c r="A932" s="3" t="s">
        <v>12</v>
      </c>
      <c r="B932" s="3" t="s">
        <v>566</v>
      </c>
      <c r="C932" s="3" t="s">
        <v>105</v>
      </c>
    </row>
    <row r="933" spans="1:3" ht="15" x14ac:dyDescent="0.25">
      <c r="A933" s="3" t="s">
        <v>484</v>
      </c>
      <c r="B933" s="3" t="s">
        <v>566</v>
      </c>
      <c r="C933" s="3" t="s">
        <v>105</v>
      </c>
    </row>
    <row r="934" spans="1:3" ht="15" x14ac:dyDescent="0.25">
      <c r="A934" s="3" t="s">
        <v>289</v>
      </c>
      <c r="B934" s="3" t="s">
        <v>566</v>
      </c>
      <c r="C934" s="3" t="s">
        <v>105</v>
      </c>
    </row>
    <row r="935" spans="1:3" ht="15" x14ac:dyDescent="0.25">
      <c r="A935" s="3" t="s">
        <v>291</v>
      </c>
      <c r="B935" s="3" t="s">
        <v>566</v>
      </c>
      <c r="C935" s="3" t="s">
        <v>105</v>
      </c>
    </row>
    <row r="936" spans="1:3" ht="15" x14ac:dyDescent="0.25">
      <c r="A936" s="3" t="s">
        <v>292</v>
      </c>
      <c r="B936" s="3" t="s">
        <v>566</v>
      </c>
      <c r="C936" s="3" t="s">
        <v>105</v>
      </c>
    </row>
    <row r="937" spans="1:3" ht="15" x14ac:dyDescent="0.25">
      <c r="A937" s="3" t="s">
        <v>294</v>
      </c>
      <c r="B937" s="3" t="s">
        <v>566</v>
      </c>
      <c r="C937" s="3" t="s">
        <v>105</v>
      </c>
    </row>
    <row r="938" spans="1:3" ht="15" x14ac:dyDescent="0.25">
      <c r="A938" s="3" t="s">
        <v>295</v>
      </c>
      <c r="B938" s="3" t="s">
        <v>566</v>
      </c>
      <c r="C938" s="3" t="s">
        <v>105</v>
      </c>
    </row>
    <row r="939" spans="1:3" ht="15" x14ac:dyDescent="0.25">
      <c r="A939" s="3" t="s">
        <v>138</v>
      </c>
      <c r="B939" s="3" t="s">
        <v>566</v>
      </c>
      <c r="C939" s="3" t="s">
        <v>105</v>
      </c>
    </row>
    <row r="940" spans="1:3" ht="15" x14ac:dyDescent="0.25">
      <c r="A940" s="3" t="s">
        <v>297</v>
      </c>
      <c r="B940" s="3" t="s">
        <v>566</v>
      </c>
      <c r="C940" s="3" t="s">
        <v>105</v>
      </c>
    </row>
    <row r="941" spans="1:3" ht="15" x14ac:dyDescent="0.25">
      <c r="A941" s="3" t="s">
        <v>298</v>
      </c>
      <c r="B941" s="3" t="s">
        <v>566</v>
      </c>
      <c r="C941" s="3" t="s">
        <v>105</v>
      </c>
    </row>
    <row r="942" spans="1:3" ht="15" x14ac:dyDescent="0.25">
      <c r="A942" s="3" t="s">
        <v>249</v>
      </c>
      <c r="B942" s="3" t="s">
        <v>566</v>
      </c>
      <c r="C942" s="3" t="s">
        <v>105</v>
      </c>
    </row>
    <row r="943" spans="1:3" ht="15" x14ac:dyDescent="0.25">
      <c r="A943" s="3" t="s">
        <v>113</v>
      </c>
      <c r="B943" s="3" t="s">
        <v>566</v>
      </c>
      <c r="C943" s="3" t="s">
        <v>105</v>
      </c>
    </row>
    <row r="944" spans="1:3" ht="15" x14ac:dyDescent="0.25">
      <c r="A944" s="3" t="s">
        <v>301</v>
      </c>
      <c r="B944" s="3" t="s">
        <v>566</v>
      </c>
      <c r="C944" s="3" t="s">
        <v>105</v>
      </c>
    </row>
    <row r="945" spans="1:3" ht="15" x14ac:dyDescent="0.25">
      <c r="A945" s="3" t="s">
        <v>302</v>
      </c>
      <c r="B945" s="3" t="s">
        <v>566</v>
      </c>
      <c r="C945" s="3" t="s">
        <v>105</v>
      </c>
    </row>
    <row r="946" spans="1:3" ht="15" x14ac:dyDescent="0.25">
      <c r="A946" s="3" t="s">
        <v>253</v>
      </c>
      <c r="B946" s="3" t="s">
        <v>566</v>
      </c>
      <c r="C946" s="3" t="s">
        <v>105</v>
      </c>
    </row>
    <row r="947" spans="1:3" ht="15" x14ac:dyDescent="0.25">
      <c r="A947" s="3" t="s">
        <v>194</v>
      </c>
      <c r="B947" s="3" t="s">
        <v>566</v>
      </c>
      <c r="C947" s="3" t="s">
        <v>105</v>
      </c>
    </row>
    <row r="948" spans="1:3" ht="15" x14ac:dyDescent="0.25">
      <c r="A948" s="3" t="s">
        <v>254</v>
      </c>
      <c r="B948" s="3" t="s">
        <v>566</v>
      </c>
      <c r="C948" s="3" t="s">
        <v>105</v>
      </c>
    </row>
    <row r="949" spans="1:3" ht="15" x14ac:dyDescent="0.25">
      <c r="A949" s="3" t="s">
        <v>41</v>
      </c>
      <c r="B949" s="3" t="s">
        <v>566</v>
      </c>
      <c r="C949" s="3" t="s">
        <v>105</v>
      </c>
    </row>
    <row r="950" spans="1:3" ht="15" x14ac:dyDescent="0.25">
      <c r="A950" s="3" t="s">
        <v>310</v>
      </c>
      <c r="B950" s="3" t="s">
        <v>566</v>
      </c>
      <c r="C950" s="3" t="s">
        <v>105</v>
      </c>
    </row>
    <row r="951" spans="1:3" ht="15" x14ac:dyDescent="0.25">
      <c r="A951" s="3" t="s">
        <v>311</v>
      </c>
      <c r="B951" s="3" t="s">
        <v>566</v>
      </c>
      <c r="C951" s="3" t="s">
        <v>105</v>
      </c>
    </row>
    <row r="952" spans="1:3" ht="15" x14ac:dyDescent="0.25">
      <c r="A952" s="3" t="s">
        <v>313</v>
      </c>
      <c r="B952" s="3" t="s">
        <v>566</v>
      </c>
      <c r="C952" s="3" t="s">
        <v>105</v>
      </c>
    </row>
    <row r="953" spans="1:3" ht="15" x14ac:dyDescent="0.25">
      <c r="A953" s="3" t="s">
        <v>314</v>
      </c>
      <c r="B953" s="3" t="s">
        <v>566</v>
      </c>
      <c r="C953" s="3" t="s">
        <v>105</v>
      </c>
    </row>
    <row r="954" spans="1:3" ht="15" x14ac:dyDescent="0.25">
      <c r="A954" s="3" t="s">
        <v>200</v>
      </c>
      <c r="B954" s="3" t="s">
        <v>566</v>
      </c>
      <c r="C954" s="3" t="s">
        <v>105</v>
      </c>
    </row>
    <row r="955" spans="1:3" ht="15" x14ac:dyDescent="0.25">
      <c r="A955" s="3" t="s">
        <v>316</v>
      </c>
      <c r="B955" s="3" t="s">
        <v>566</v>
      </c>
      <c r="C955" s="3" t="s">
        <v>105</v>
      </c>
    </row>
    <row r="956" spans="1:3" ht="15" x14ac:dyDescent="0.25">
      <c r="A956" s="3" t="s">
        <v>317</v>
      </c>
      <c r="B956" s="3" t="s">
        <v>566</v>
      </c>
      <c r="C956" s="3" t="s">
        <v>105</v>
      </c>
    </row>
    <row r="957" spans="1:3" ht="15" x14ac:dyDescent="0.25">
      <c r="A957" s="3" t="s">
        <v>318</v>
      </c>
      <c r="B957" s="3" t="s">
        <v>566</v>
      </c>
      <c r="C957" s="3" t="s">
        <v>105</v>
      </c>
    </row>
    <row r="958" spans="1:3" ht="15" x14ac:dyDescent="0.25">
      <c r="A958" s="3" t="s">
        <v>320</v>
      </c>
      <c r="B958" s="3" t="s">
        <v>566</v>
      </c>
      <c r="C958" s="3" t="s">
        <v>105</v>
      </c>
    </row>
    <row r="959" spans="1:3" ht="15" x14ac:dyDescent="0.25">
      <c r="A959" s="3" t="s">
        <v>64</v>
      </c>
      <c r="B959" s="3" t="s">
        <v>566</v>
      </c>
      <c r="C959" s="3" t="s">
        <v>105</v>
      </c>
    </row>
    <row r="960" spans="1:3" ht="15" x14ac:dyDescent="0.25">
      <c r="A960" s="3" t="s">
        <v>321</v>
      </c>
      <c r="B960" s="3" t="s">
        <v>566</v>
      </c>
      <c r="C960" s="3" t="s">
        <v>105</v>
      </c>
    </row>
    <row r="961" spans="1:3" ht="15" x14ac:dyDescent="0.25">
      <c r="A961" s="3" t="s">
        <v>323</v>
      </c>
      <c r="B961" s="3" t="s">
        <v>566</v>
      </c>
      <c r="C961" s="3" t="s">
        <v>105</v>
      </c>
    </row>
    <row r="962" spans="1:3" ht="15" x14ac:dyDescent="0.25">
      <c r="A962" s="3" t="s">
        <v>225</v>
      </c>
      <c r="B962" s="3" t="s">
        <v>566</v>
      </c>
      <c r="C962" s="3" t="s">
        <v>105</v>
      </c>
    </row>
    <row r="963" spans="1:3" ht="15" x14ac:dyDescent="0.25">
      <c r="A963" s="3" t="s">
        <v>266</v>
      </c>
      <c r="B963" s="3" t="s">
        <v>566</v>
      </c>
      <c r="C963" s="3" t="s">
        <v>105</v>
      </c>
    </row>
    <row r="964" spans="1:3" ht="15" x14ac:dyDescent="0.25">
      <c r="A964" s="3" t="s">
        <v>391</v>
      </c>
      <c r="B964" s="3" t="s">
        <v>566</v>
      </c>
      <c r="C964" s="3" t="s">
        <v>105</v>
      </c>
    </row>
    <row r="965" spans="1:3" ht="15" x14ac:dyDescent="0.25">
      <c r="A965" s="3" t="s">
        <v>86</v>
      </c>
      <c r="B965" s="3" t="s">
        <v>566</v>
      </c>
      <c r="C965" s="3" t="s">
        <v>105</v>
      </c>
    </row>
    <row r="966" spans="1:3" ht="15" x14ac:dyDescent="0.25">
      <c r="A966" s="3" t="s">
        <v>88</v>
      </c>
      <c r="B966" s="3" t="s">
        <v>566</v>
      </c>
      <c r="C966" s="3" t="s">
        <v>105</v>
      </c>
    </row>
    <row r="967" spans="1:3" ht="15" x14ac:dyDescent="0.25">
      <c r="A967" s="3" t="s">
        <v>269</v>
      </c>
      <c r="B967" s="3" t="s">
        <v>566</v>
      </c>
      <c r="C967" s="3" t="s">
        <v>105</v>
      </c>
    </row>
    <row r="968" spans="1:3" ht="15" x14ac:dyDescent="0.25">
      <c r="A968" s="3" t="s">
        <v>326</v>
      </c>
      <c r="B968" s="3" t="s">
        <v>566</v>
      </c>
      <c r="C968" s="3" t="s">
        <v>105</v>
      </c>
    </row>
    <row r="969" spans="1:3" ht="15" x14ac:dyDescent="0.25">
      <c r="A969" s="3" t="s">
        <v>327</v>
      </c>
      <c r="B969" s="3" t="s">
        <v>566</v>
      </c>
      <c r="C969" s="3" t="s">
        <v>105</v>
      </c>
    </row>
    <row r="970" spans="1:3" ht="15" x14ac:dyDescent="0.25">
      <c r="A970" s="3" t="s">
        <v>97</v>
      </c>
      <c r="B970" s="3" t="s">
        <v>566</v>
      </c>
      <c r="C970" s="3" t="s">
        <v>105</v>
      </c>
    </row>
    <row r="971" spans="1:3" ht="15" x14ac:dyDescent="0.25">
      <c r="A971" s="3" t="s">
        <v>328</v>
      </c>
      <c r="B971" s="3" t="s">
        <v>566</v>
      </c>
      <c r="C971" s="3" t="s">
        <v>105</v>
      </c>
    </row>
    <row r="972" spans="1:3" ht="15" x14ac:dyDescent="0.25">
      <c r="A972" s="3" t="s">
        <v>330</v>
      </c>
      <c r="B972" s="3" t="s">
        <v>566</v>
      </c>
      <c r="C972" s="3" t="s">
        <v>105</v>
      </c>
    </row>
    <row r="973" spans="1:3" ht="15" x14ac:dyDescent="0.25">
      <c r="A973" s="3" t="s">
        <v>208</v>
      </c>
      <c r="B973" s="3" t="s">
        <v>566</v>
      </c>
      <c r="C973" s="3" t="s">
        <v>105</v>
      </c>
    </row>
    <row r="974" spans="1:3" ht="15" x14ac:dyDescent="0.25">
      <c r="A974" s="3" t="s">
        <v>277</v>
      </c>
      <c r="B974" s="3" t="s">
        <v>566</v>
      </c>
      <c r="C974" s="3" t="s">
        <v>105</v>
      </c>
    </row>
    <row r="975" spans="1:3" ht="15" x14ac:dyDescent="0.25">
      <c r="A975" s="3" t="s">
        <v>595</v>
      </c>
      <c r="B975" s="3" t="s">
        <v>566</v>
      </c>
      <c r="C975" s="3" t="s">
        <v>105</v>
      </c>
    </row>
    <row r="976" spans="1:3" ht="15" x14ac:dyDescent="0.25">
      <c r="A976" s="3" t="s">
        <v>145</v>
      </c>
      <c r="B976" s="3" t="s">
        <v>566</v>
      </c>
      <c r="C976" s="3" t="s">
        <v>105</v>
      </c>
    </row>
    <row r="977" spans="1:3" ht="15" x14ac:dyDescent="0.25">
      <c r="A977" s="3" t="s">
        <v>276</v>
      </c>
      <c r="B977" s="3" t="s">
        <v>566</v>
      </c>
      <c r="C977" s="3" t="s">
        <v>105</v>
      </c>
    </row>
    <row r="978" spans="1:3" ht="15" x14ac:dyDescent="0.25">
      <c r="A978" s="3" t="s">
        <v>102</v>
      </c>
      <c r="B978" s="3" t="s">
        <v>566</v>
      </c>
      <c r="C978" s="3" t="s">
        <v>105</v>
      </c>
    </row>
    <row r="979" spans="1:3" ht="15" x14ac:dyDescent="0.25">
      <c r="A979" s="3" t="s">
        <v>103</v>
      </c>
      <c r="B979" s="3" t="s">
        <v>600</v>
      </c>
      <c r="C979" s="3" t="s">
        <v>235</v>
      </c>
    </row>
    <row r="980" spans="1:3" ht="15" x14ac:dyDescent="0.25">
      <c r="A980" s="3" t="s">
        <v>10</v>
      </c>
      <c r="B980" s="3" t="s">
        <v>600</v>
      </c>
      <c r="C980" s="3" t="s">
        <v>235</v>
      </c>
    </row>
    <row r="981" spans="1:3" ht="15" x14ac:dyDescent="0.25">
      <c r="A981" s="3" t="s">
        <v>187</v>
      </c>
      <c r="B981" s="3" t="s">
        <v>600</v>
      </c>
      <c r="C981" s="3" t="s">
        <v>235</v>
      </c>
    </row>
    <row r="982" spans="1:3" ht="15" x14ac:dyDescent="0.25">
      <c r="A982" s="3" t="s">
        <v>11</v>
      </c>
      <c r="B982" s="3" t="s">
        <v>600</v>
      </c>
      <c r="C982" s="3" t="s">
        <v>235</v>
      </c>
    </row>
    <row r="983" spans="1:3" ht="15" x14ac:dyDescent="0.25">
      <c r="A983" s="3" t="s">
        <v>349</v>
      </c>
      <c r="B983" s="3" t="s">
        <v>600</v>
      </c>
      <c r="C983" s="3" t="s">
        <v>235</v>
      </c>
    </row>
    <row r="984" spans="1:3" ht="15" x14ac:dyDescent="0.25">
      <c r="A984" s="3" t="s">
        <v>291</v>
      </c>
      <c r="B984" s="3" t="s">
        <v>600</v>
      </c>
      <c r="C984" s="3" t="s">
        <v>235</v>
      </c>
    </row>
    <row r="985" spans="1:3" ht="15" x14ac:dyDescent="0.25">
      <c r="A985" s="3" t="s">
        <v>31</v>
      </c>
      <c r="B985" s="3" t="s">
        <v>600</v>
      </c>
      <c r="C985" s="3" t="s">
        <v>235</v>
      </c>
    </row>
    <row r="986" spans="1:3" ht="15" x14ac:dyDescent="0.25">
      <c r="A986" s="3" t="s">
        <v>194</v>
      </c>
      <c r="B986" s="3" t="s">
        <v>600</v>
      </c>
      <c r="C986" s="3" t="s">
        <v>235</v>
      </c>
    </row>
    <row r="987" spans="1:3" ht="15" x14ac:dyDescent="0.25">
      <c r="A987" s="3" t="s">
        <v>310</v>
      </c>
      <c r="B987" s="3" t="s">
        <v>600</v>
      </c>
      <c r="C987" s="3" t="s">
        <v>235</v>
      </c>
    </row>
    <row r="988" spans="1:3" ht="15" x14ac:dyDescent="0.25">
      <c r="A988" s="3" t="s">
        <v>311</v>
      </c>
      <c r="B988" s="3" t="s">
        <v>600</v>
      </c>
      <c r="C988" s="3" t="s">
        <v>235</v>
      </c>
    </row>
    <row r="989" spans="1:3" ht="15" x14ac:dyDescent="0.25">
      <c r="A989" s="3" t="s">
        <v>364</v>
      </c>
      <c r="B989" s="3" t="s">
        <v>600</v>
      </c>
      <c r="C989" s="3" t="s">
        <v>235</v>
      </c>
    </row>
    <row r="990" spans="1:3" ht="15" x14ac:dyDescent="0.25">
      <c r="A990" s="3" t="s">
        <v>178</v>
      </c>
      <c r="B990" s="3" t="s">
        <v>600</v>
      </c>
      <c r="C990" s="3" t="s">
        <v>235</v>
      </c>
    </row>
    <row r="991" spans="1:3" ht="15" x14ac:dyDescent="0.25">
      <c r="A991" s="3" t="s">
        <v>215</v>
      </c>
      <c r="B991" s="3" t="s">
        <v>600</v>
      </c>
      <c r="C991" s="3" t="s">
        <v>235</v>
      </c>
    </row>
    <row r="992" spans="1:3" ht="15" x14ac:dyDescent="0.25">
      <c r="A992" s="3" t="s">
        <v>390</v>
      </c>
      <c r="B992" s="3" t="s">
        <v>600</v>
      </c>
      <c r="C992" s="3" t="s">
        <v>235</v>
      </c>
    </row>
    <row r="993" spans="1:3" ht="15" x14ac:dyDescent="0.25">
      <c r="A993" s="3" t="s">
        <v>306</v>
      </c>
      <c r="B993" s="3" t="s">
        <v>600</v>
      </c>
      <c r="C993" s="3" t="s">
        <v>235</v>
      </c>
    </row>
    <row r="994" spans="1:3" ht="15" x14ac:dyDescent="0.25">
      <c r="A994" s="3" t="s">
        <v>62</v>
      </c>
      <c r="B994" s="3" t="s">
        <v>600</v>
      </c>
      <c r="C994" s="3" t="s">
        <v>235</v>
      </c>
    </row>
    <row r="995" spans="1:3" ht="15" x14ac:dyDescent="0.25">
      <c r="A995" s="3" t="s">
        <v>391</v>
      </c>
      <c r="B995" s="3" t="s">
        <v>600</v>
      </c>
      <c r="C995" s="3" t="s">
        <v>235</v>
      </c>
    </row>
    <row r="996" spans="1:3" ht="15" x14ac:dyDescent="0.25">
      <c r="A996" s="3" t="s">
        <v>87</v>
      </c>
      <c r="B996" s="3" t="s">
        <v>600</v>
      </c>
      <c r="C996" s="3" t="s">
        <v>235</v>
      </c>
    </row>
    <row r="997" spans="1:3" ht="15" x14ac:dyDescent="0.25">
      <c r="A997" s="3" t="s">
        <v>119</v>
      </c>
      <c r="B997" s="3" t="s">
        <v>600</v>
      </c>
      <c r="C997" s="3" t="s">
        <v>235</v>
      </c>
    </row>
    <row r="998" spans="1:3" ht="15" x14ac:dyDescent="0.25">
      <c r="A998" s="3" t="s">
        <v>120</v>
      </c>
      <c r="B998" s="3" t="s">
        <v>600</v>
      </c>
      <c r="C998" s="3" t="s">
        <v>235</v>
      </c>
    </row>
    <row r="999" spans="1:3" ht="15" x14ac:dyDescent="0.25">
      <c r="A999" s="3" t="s">
        <v>207</v>
      </c>
      <c r="B999" s="3" t="s">
        <v>602</v>
      </c>
      <c r="C999" s="3" t="s">
        <v>235</v>
      </c>
    </row>
    <row r="1000" spans="1:3" ht="15" x14ac:dyDescent="0.25">
      <c r="A1000" s="3" t="s">
        <v>183</v>
      </c>
      <c r="B1000" s="3" t="s">
        <v>602</v>
      </c>
      <c r="C1000" s="3" t="s">
        <v>235</v>
      </c>
    </row>
    <row r="1001" spans="1:3" ht="15" x14ac:dyDescent="0.25">
      <c r="A1001" s="3" t="s">
        <v>124</v>
      </c>
      <c r="B1001" s="3" t="s">
        <v>602</v>
      </c>
      <c r="C1001" s="3" t="s">
        <v>235</v>
      </c>
    </row>
    <row r="1002" spans="1:3" ht="15" x14ac:dyDescent="0.25">
      <c r="A1002" s="3" t="s">
        <v>532</v>
      </c>
      <c r="B1002" s="3" t="s">
        <v>602</v>
      </c>
      <c r="C1002" s="3" t="s">
        <v>235</v>
      </c>
    </row>
    <row r="1003" spans="1:3" ht="15" x14ac:dyDescent="0.25">
      <c r="A1003" s="3" t="s">
        <v>378</v>
      </c>
      <c r="B1003" s="3" t="s">
        <v>602</v>
      </c>
      <c r="C1003" s="3" t="s">
        <v>235</v>
      </c>
    </row>
    <row r="1004" spans="1:3" ht="15" x14ac:dyDescent="0.25">
      <c r="A1004" s="3" t="s">
        <v>338</v>
      </c>
      <c r="B1004" s="3" t="s">
        <v>602</v>
      </c>
      <c r="C1004" s="3" t="s">
        <v>235</v>
      </c>
    </row>
    <row r="1005" spans="1:3" ht="15" x14ac:dyDescent="0.25">
      <c r="A1005" s="3" t="s">
        <v>243</v>
      </c>
      <c r="B1005" s="3" t="s">
        <v>602</v>
      </c>
      <c r="C1005" s="3" t="s">
        <v>235</v>
      </c>
    </row>
    <row r="1006" spans="1:3" ht="15" x14ac:dyDescent="0.25">
      <c r="A1006" s="3" t="s">
        <v>301</v>
      </c>
      <c r="B1006" s="3" t="s">
        <v>602</v>
      </c>
      <c r="C1006" s="3" t="s">
        <v>235</v>
      </c>
    </row>
    <row r="1007" spans="1:3" ht="15" x14ac:dyDescent="0.25">
      <c r="A1007" s="3" t="s">
        <v>350</v>
      </c>
      <c r="B1007" s="3" t="s">
        <v>602</v>
      </c>
      <c r="C1007" s="3" t="s">
        <v>235</v>
      </c>
    </row>
    <row r="1008" spans="1:3" ht="15" x14ac:dyDescent="0.25">
      <c r="A1008" s="3" t="s">
        <v>362</v>
      </c>
      <c r="B1008" s="3" t="s">
        <v>602</v>
      </c>
      <c r="C1008" s="3" t="s">
        <v>235</v>
      </c>
    </row>
    <row r="1009" spans="1:3" ht="15" x14ac:dyDescent="0.25">
      <c r="A1009" s="3" t="s">
        <v>314</v>
      </c>
      <c r="B1009" s="3" t="s">
        <v>602</v>
      </c>
      <c r="C1009" s="3" t="s">
        <v>235</v>
      </c>
    </row>
    <row r="1010" spans="1:3" ht="15" x14ac:dyDescent="0.25">
      <c r="A1010" s="3" t="s">
        <v>366</v>
      </c>
      <c r="B1010" s="3" t="s">
        <v>602</v>
      </c>
      <c r="C1010" s="3" t="s">
        <v>235</v>
      </c>
    </row>
    <row r="1011" spans="1:3" ht="15" x14ac:dyDescent="0.25">
      <c r="A1011" s="3" t="s">
        <v>72</v>
      </c>
      <c r="B1011" s="3" t="s">
        <v>602</v>
      </c>
      <c r="C1011" s="3" t="s">
        <v>235</v>
      </c>
    </row>
    <row r="1012" spans="1:3" ht="15" x14ac:dyDescent="0.25">
      <c r="A1012" s="3" t="s">
        <v>94</v>
      </c>
      <c r="B1012" s="3" t="s">
        <v>602</v>
      </c>
      <c r="C1012" s="3" t="s">
        <v>235</v>
      </c>
    </row>
    <row r="1013" spans="1:3" ht="15" x14ac:dyDescent="0.25">
      <c r="A1013" s="3" t="s">
        <v>327</v>
      </c>
      <c r="B1013" s="3" t="s">
        <v>602</v>
      </c>
      <c r="C1013" s="3" t="s">
        <v>235</v>
      </c>
    </row>
    <row r="1014" spans="1:3" ht="15" x14ac:dyDescent="0.25">
      <c r="A1014" s="3" t="s">
        <v>537</v>
      </c>
      <c r="B1014" s="3" t="s">
        <v>602</v>
      </c>
      <c r="C1014" s="3" t="s">
        <v>235</v>
      </c>
    </row>
    <row r="1015" spans="1:3" ht="15" x14ac:dyDescent="0.25">
      <c r="A1015" s="3" t="s">
        <v>273</v>
      </c>
      <c r="B1015" s="3" t="s">
        <v>602</v>
      </c>
      <c r="C1015" s="3" t="s">
        <v>235</v>
      </c>
    </row>
    <row r="1016" spans="1:3" ht="15" x14ac:dyDescent="0.25">
      <c r="A1016" s="3" t="s">
        <v>98</v>
      </c>
      <c r="B1016" s="3" t="s">
        <v>602</v>
      </c>
      <c r="C1016" s="3" t="s">
        <v>235</v>
      </c>
    </row>
    <row r="1017" spans="1:3" ht="15" x14ac:dyDescent="0.25">
      <c r="A1017" s="3" t="s">
        <v>275</v>
      </c>
      <c r="B1017" s="3" t="s">
        <v>602</v>
      </c>
      <c r="C1017" s="3" t="s">
        <v>235</v>
      </c>
    </row>
    <row r="1018" spans="1:3" ht="15" x14ac:dyDescent="0.25">
      <c r="A1018" s="3" t="s">
        <v>204</v>
      </c>
      <c r="B1018" s="3" t="s">
        <v>602</v>
      </c>
      <c r="C1018" s="3" t="s">
        <v>235</v>
      </c>
    </row>
    <row r="1019" spans="1:3" ht="15" x14ac:dyDescent="0.25">
      <c r="A1019" s="3" t="s">
        <v>292</v>
      </c>
      <c r="B1019" s="3" t="s">
        <v>603</v>
      </c>
      <c r="C1019" s="3" t="s">
        <v>235</v>
      </c>
    </row>
    <row r="1020" spans="1:3" ht="15" x14ac:dyDescent="0.25">
      <c r="A1020" s="3" t="s">
        <v>16</v>
      </c>
      <c r="B1020" s="3" t="s">
        <v>603</v>
      </c>
      <c r="C1020" s="3" t="s">
        <v>235</v>
      </c>
    </row>
    <row r="1021" spans="1:3" ht="15" x14ac:dyDescent="0.25">
      <c r="A1021" s="3" t="s">
        <v>138</v>
      </c>
      <c r="B1021" s="3" t="s">
        <v>603</v>
      </c>
      <c r="C1021" s="3" t="s">
        <v>235</v>
      </c>
    </row>
    <row r="1022" spans="1:3" ht="15" x14ac:dyDescent="0.25">
      <c r="A1022" s="3" t="s">
        <v>214</v>
      </c>
      <c r="B1022" s="3" t="s">
        <v>603</v>
      </c>
      <c r="C1022" s="3" t="s">
        <v>235</v>
      </c>
    </row>
    <row r="1023" spans="1:3" ht="15" x14ac:dyDescent="0.25">
      <c r="A1023" s="3" t="s">
        <v>389</v>
      </c>
      <c r="B1023" s="3" t="s">
        <v>603</v>
      </c>
      <c r="C1023" s="3" t="s">
        <v>235</v>
      </c>
    </row>
    <row r="1024" spans="1:3" ht="15" x14ac:dyDescent="0.25">
      <c r="A1024" s="3" t="s">
        <v>191</v>
      </c>
      <c r="B1024" s="3" t="s">
        <v>603</v>
      </c>
      <c r="C1024" s="3" t="s">
        <v>235</v>
      </c>
    </row>
    <row r="1025" spans="1:3" ht="15" x14ac:dyDescent="0.25">
      <c r="A1025" s="3" t="s">
        <v>451</v>
      </c>
      <c r="B1025" s="3" t="s">
        <v>603</v>
      </c>
      <c r="C1025" s="3" t="s">
        <v>235</v>
      </c>
    </row>
    <row r="1026" spans="1:3" ht="15" x14ac:dyDescent="0.25">
      <c r="A1026" s="3" t="s">
        <v>604</v>
      </c>
      <c r="B1026" s="3" t="s">
        <v>603</v>
      </c>
      <c r="C1026" s="3" t="s">
        <v>235</v>
      </c>
    </row>
    <row r="1027" spans="1:3" ht="15" x14ac:dyDescent="0.25">
      <c r="A1027" s="3" t="s">
        <v>303</v>
      </c>
      <c r="B1027" s="3" t="s">
        <v>603</v>
      </c>
      <c r="C1027" s="3" t="s">
        <v>235</v>
      </c>
    </row>
    <row r="1028" spans="1:3" ht="15" x14ac:dyDescent="0.25">
      <c r="A1028" s="3" t="s">
        <v>41</v>
      </c>
      <c r="B1028" s="3" t="s">
        <v>603</v>
      </c>
      <c r="C1028" s="3" t="s">
        <v>235</v>
      </c>
    </row>
    <row r="1029" spans="1:3" ht="15" x14ac:dyDescent="0.25">
      <c r="A1029" s="3" t="s">
        <v>49</v>
      </c>
      <c r="B1029" s="3" t="s">
        <v>603</v>
      </c>
      <c r="C1029" s="3" t="s">
        <v>235</v>
      </c>
    </row>
    <row r="1030" spans="1:3" ht="15" x14ac:dyDescent="0.25">
      <c r="A1030" s="3" t="s">
        <v>419</v>
      </c>
      <c r="B1030" s="3" t="s">
        <v>603</v>
      </c>
      <c r="C1030" s="3" t="s">
        <v>235</v>
      </c>
    </row>
    <row r="1031" spans="1:3" ht="15" x14ac:dyDescent="0.25">
      <c r="A1031" s="3" t="s">
        <v>260</v>
      </c>
      <c r="B1031" s="3" t="s">
        <v>603</v>
      </c>
      <c r="C1031" s="3" t="s">
        <v>235</v>
      </c>
    </row>
    <row r="1032" spans="1:3" ht="15" x14ac:dyDescent="0.25">
      <c r="A1032" s="3" t="s">
        <v>232</v>
      </c>
      <c r="B1032" s="3" t="s">
        <v>603</v>
      </c>
      <c r="C1032" s="3" t="s">
        <v>235</v>
      </c>
    </row>
    <row r="1033" spans="1:3" ht="15" x14ac:dyDescent="0.25">
      <c r="A1033" s="3" t="s">
        <v>114</v>
      </c>
      <c r="B1033" s="3" t="s">
        <v>603</v>
      </c>
      <c r="C1033" s="3" t="s">
        <v>235</v>
      </c>
    </row>
    <row r="1034" spans="1:3" ht="15" x14ac:dyDescent="0.25">
      <c r="A1034" s="3" t="s">
        <v>158</v>
      </c>
      <c r="B1034" s="3" t="s">
        <v>603</v>
      </c>
      <c r="C1034" s="3" t="s">
        <v>235</v>
      </c>
    </row>
    <row r="1035" spans="1:3" ht="15" x14ac:dyDescent="0.25">
      <c r="A1035" s="3" t="s">
        <v>90</v>
      </c>
      <c r="B1035" s="3" t="s">
        <v>603</v>
      </c>
      <c r="C1035" s="3" t="s">
        <v>235</v>
      </c>
    </row>
    <row r="1036" spans="1:3" ht="15" x14ac:dyDescent="0.25">
      <c r="A1036" s="3" t="s">
        <v>326</v>
      </c>
      <c r="B1036" s="3" t="s">
        <v>603</v>
      </c>
      <c r="C1036" s="3" t="s">
        <v>235</v>
      </c>
    </row>
    <row r="1037" spans="1:3" ht="15" x14ac:dyDescent="0.25">
      <c r="A1037" s="3" t="s">
        <v>227</v>
      </c>
      <c r="B1037" s="3" t="s">
        <v>603</v>
      </c>
      <c r="C1037" s="3" t="s">
        <v>235</v>
      </c>
    </row>
    <row r="1038" spans="1:3" ht="15" x14ac:dyDescent="0.25">
      <c r="A1038" s="3" t="s">
        <v>181</v>
      </c>
      <c r="B1038" s="3" t="s">
        <v>603</v>
      </c>
      <c r="C1038" s="3" t="s">
        <v>235</v>
      </c>
    </row>
    <row r="1039" spans="1:3" ht="15" x14ac:dyDescent="0.25">
      <c r="A1039" s="3" t="s">
        <v>541</v>
      </c>
      <c r="B1039" s="3" t="s">
        <v>605</v>
      </c>
      <c r="C1039" s="3" t="s">
        <v>168</v>
      </c>
    </row>
    <row r="1040" spans="1:3" ht="15" x14ac:dyDescent="0.25">
      <c r="A1040" s="3" t="s">
        <v>256</v>
      </c>
      <c r="B1040" s="3" t="s">
        <v>605</v>
      </c>
      <c r="C1040" s="3" t="s">
        <v>168</v>
      </c>
    </row>
    <row r="1041" spans="1:3" ht="15" x14ac:dyDescent="0.25">
      <c r="A1041" s="3" t="s">
        <v>267</v>
      </c>
      <c r="B1041" s="3" t="s">
        <v>605</v>
      </c>
      <c r="C1041" s="3" t="s">
        <v>168</v>
      </c>
    </row>
    <row r="1042" spans="1:3" ht="15" x14ac:dyDescent="0.25">
      <c r="A1042" s="3" t="s">
        <v>272</v>
      </c>
      <c r="B1042" s="3" t="s">
        <v>605</v>
      </c>
      <c r="C1042" s="3" t="s">
        <v>168</v>
      </c>
    </row>
    <row r="1043" spans="1:3" ht="15" x14ac:dyDescent="0.25">
      <c r="A1043" s="3" t="s">
        <v>508</v>
      </c>
      <c r="B1043" s="3" t="s">
        <v>605</v>
      </c>
      <c r="C1043" s="3" t="s">
        <v>168</v>
      </c>
    </row>
    <row r="1044" spans="1:3" ht="15" x14ac:dyDescent="0.25">
      <c r="A1044" s="3" t="s">
        <v>186</v>
      </c>
      <c r="B1044" s="3" t="s">
        <v>606</v>
      </c>
      <c r="C1044" s="3" t="s">
        <v>105</v>
      </c>
    </row>
    <row r="1045" spans="1:3" ht="15" x14ac:dyDescent="0.25">
      <c r="A1045" s="3" t="s">
        <v>187</v>
      </c>
      <c r="B1045" s="3" t="s">
        <v>606</v>
      </c>
      <c r="C1045" s="3" t="s">
        <v>105</v>
      </c>
    </row>
    <row r="1046" spans="1:3" ht="15" x14ac:dyDescent="0.25">
      <c r="A1046" s="3" t="s">
        <v>11</v>
      </c>
      <c r="B1046" s="3" t="s">
        <v>606</v>
      </c>
      <c r="C1046" s="3" t="s">
        <v>105</v>
      </c>
    </row>
    <row r="1047" spans="1:3" ht="15" x14ac:dyDescent="0.25">
      <c r="A1047" s="3" t="s">
        <v>284</v>
      </c>
      <c r="B1047" s="3" t="s">
        <v>606</v>
      </c>
      <c r="C1047" s="3" t="s">
        <v>105</v>
      </c>
    </row>
    <row r="1048" spans="1:3" ht="15" x14ac:dyDescent="0.25">
      <c r="A1048" s="3" t="s">
        <v>129</v>
      </c>
      <c r="B1048" s="3" t="s">
        <v>606</v>
      </c>
      <c r="C1048" s="3" t="s">
        <v>105</v>
      </c>
    </row>
    <row r="1049" spans="1:3" ht="15" x14ac:dyDescent="0.25">
      <c r="A1049" s="3" t="s">
        <v>190</v>
      </c>
      <c r="B1049" s="3" t="s">
        <v>606</v>
      </c>
      <c r="C1049" s="3" t="s">
        <v>105</v>
      </c>
    </row>
    <row r="1050" spans="1:3" ht="15" x14ac:dyDescent="0.25">
      <c r="A1050" s="3" t="s">
        <v>349</v>
      </c>
      <c r="B1050" s="3" t="s">
        <v>606</v>
      </c>
      <c r="C1050" s="3" t="s">
        <v>105</v>
      </c>
    </row>
    <row r="1051" spans="1:3" ht="15" x14ac:dyDescent="0.25">
      <c r="A1051" s="3" t="s">
        <v>486</v>
      </c>
      <c r="B1051" s="3" t="s">
        <v>606</v>
      </c>
      <c r="C1051" s="3" t="s">
        <v>105</v>
      </c>
    </row>
    <row r="1052" spans="1:3" ht="15" x14ac:dyDescent="0.25">
      <c r="A1052" s="3" t="s">
        <v>431</v>
      </c>
      <c r="B1052" s="3" t="s">
        <v>606</v>
      </c>
      <c r="C1052" s="3" t="s">
        <v>105</v>
      </c>
    </row>
    <row r="1053" spans="1:3" ht="15" x14ac:dyDescent="0.25">
      <c r="A1053" s="3" t="s">
        <v>18</v>
      </c>
      <c r="B1053" s="3" t="s">
        <v>606</v>
      </c>
      <c r="C1053" s="3" t="s">
        <v>105</v>
      </c>
    </row>
    <row r="1054" spans="1:3" ht="15" x14ac:dyDescent="0.25">
      <c r="A1054" s="3" t="s">
        <v>170</v>
      </c>
      <c r="B1054" s="3" t="s">
        <v>606</v>
      </c>
      <c r="C1054" s="3" t="s">
        <v>105</v>
      </c>
    </row>
    <row r="1055" spans="1:3" ht="15" x14ac:dyDescent="0.25">
      <c r="A1055" s="3" t="s">
        <v>246</v>
      </c>
      <c r="B1055" s="3" t="s">
        <v>606</v>
      </c>
      <c r="C1055" s="3" t="s">
        <v>105</v>
      </c>
    </row>
    <row r="1056" spans="1:3" ht="15" x14ac:dyDescent="0.25">
      <c r="A1056" s="3" t="s">
        <v>193</v>
      </c>
      <c r="B1056" s="3" t="s">
        <v>606</v>
      </c>
      <c r="C1056" s="3" t="s">
        <v>105</v>
      </c>
    </row>
    <row r="1057" spans="1:3" ht="15" x14ac:dyDescent="0.25">
      <c r="A1057" s="3" t="s">
        <v>449</v>
      </c>
      <c r="B1057" s="3" t="s">
        <v>606</v>
      </c>
      <c r="C1057" s="3" t="s">
        <v>105</v>
      </c>
    </row>
    <row r="1058" spans="1:3" ht="15" x14ac:dyDescent="0.25">
      <c r="A1058" s="3" t="s">
        <v>194</v>
      </c>
      <c r="B1058" s="3" t="s">
        <v>606</v>
      </c>
      <c r="C1058" s="3" t="s">
        <v>105</v>
      </c>
    </row>
    <row r="1059" spans="1:3" ht="15" x14ac:dyDescent="0.25">
      <c r="A1059" s="3" t="s">
        <v>451</v>
      </c>
      <c r="B1059" s="3" t="s">
        <v>606</v>
      </c>
      <c r="C1059" s="3" t="s">
        <v>105</v>
      </c>
    </row>
    <row r="1060" spans="1:3" ht="15" x14ac:dyDescent="0.25">
      <c r="A1060" s="3" t="s">
        <v>146</v>
      </c>
      <c r="B1060" s="3" t="s">
        <v>606</v>
      </c>
      <c r="C1060" s="3" t="s">
        <v>105</v>
      </c>
    </row>
    <row r="1061" spans="1:3" ht="15" x14ac:dyDescent="0.25">
      <c r="A1061" s="3" t="s">
        <v>304</v>
      </c>
      <c r="B1061" s="3" t="s">
        <v>606</v>
      </c>
      <c r="C1061" s="3" t="s">
        <v>105</v>
      </c>
    </row>
    <row r="1062" spans="1:3" ht="15" x14ac:dyDescent="0.25">
      <c r="A1062" s="3" t="s">
        <v>255</v>
      </c>
      <c r="B1062" s="3" t="s">
        <v>606</v>
      </c>
      <c r="C1062" s="3" t="s">
        <v>105</v>
      </c>
    </row>
    <row r="1063" spans="1:3" ht="15" x14ac:dyDescent="0.25">
      <c r="A1063" s="3" t="s">
        <v>198</v>
      </c>
      <c r="B1063" s="3" t="s">
        <v>606</v>
      </c>
      <c r="C1063" s="3" t="s">
        <v>105</v>
      </c>
    </row>
    <row r="1064" spans="1:3" ht="15" x14ac:dyDescent="0.25">
      <c r="A1064" s="3" t="s">
        <v>313</v>
      </c>
      <c r="B1064" s="3" t="s">
        <v>606</v>
      </c>
      <c r="C1064" s="3" t="s">
        <v>105</v>
      </c>
    </row>
    <row r="1065" spans="1:3" ht="15" x14ac:dyDescent="0.25">
      <c r="A1065" s="3" t="s">
        <v>417</v>
      </c>
      <c r="B1065" s="3" t="s">
        <v>606</v>
      </c>
      <c r="C1065" s="3" t="s">
        <v>105</v>
      </c>
    </row>
    <row r="1066" spans="1:3" ht="15" x14ac:dyDescent="0.25">
      <c r="A1066" s="3" t="s">
        <v>366</v>
      </c>
      <c r="B1066" s="3" t="s">
        <v>606</v>
      </c>
      <c r="C1066" s="3" t="s">
        <v>105</v>
      </c>
    </row>
    <row r="1067" spans="1:3" ht="15" x14ac:dyDescent="0.25">
      <c r="A1067" s="3" t="s">
        <v>215</v>
      </c>
      <c r="B1067" s="3" t="s">
        <v>606</v>
      </c>
      <c r="C1067" s="3" t="s">
        <v>105</v>
      </c>
    </row>
    <row r="1068" spans="1:3" ht="15" x14ac:dyDescent="0.25">
      <c r="A1068" s="3" t="s">
        <v>55</v>
      </c>
      <c r="B1068" s="3" t="s">
        <v>606</v>
      </c>
      <c r="C1068" s="3" t="s">
        <v>105</v>
      </c>
    </row>
    <row r="1069" spans="1:3" ht="15" x14ac:dyDescent="0.25">
      <c r="A1069" s="3" t="s">
        <v>367</v>
      </c>
      <c r="B1069" s="3" t="s">
        <v>606</v>
      </c>
      <c r="C1069" s="3" t="s">
        <v>105</v>
      </c>
    </row>
    <row r="1070" spans="1:3" ht="15" x14ac:dyDescent="0.25">
      <c r="A1070" s="3" t="s">
        <v>306</v>
      </c>
      <c r="B1070" s="3" t="s">
        <v>606</v>
      </c>
      <c r="C1070" s="3" t="s">
        <v>105</v>
      </c>
    </row>
    <row r="1071" spans="1:3" ht="15" x14ac:dyDescent="0.25">
      <c r="A1071" s="3" t="s">
        <v>158</v>
      </c>
      <c r="B1071" s="3" t="s">
        <v>606</v>
      </c>
      <c r="C1071" s="3" t="s">
        <v>105</v>
      </c>
    </row>
    <row r="1072" spans="1:3" ht="15" x14ac:dyDescent="0.25">
      <c r="A1072" s="3" t="s">
        <v>75</v>
      </c>
      <c r="B1072" s="3" t="s">
        <v>606</v>
      </c>
      <c r="C1072" s="3" t="s">
        <v>105</v>
      </c>
    </row>
    <row r="1073" spans="1:3" ht="15" x14ac:dyDescent="0.25">
      <c r="A1073" s="3" t="s">
        <v>382</v>
      </c>
      <c r="B1073" s="3" t="s">
        <v>606</v>
      </c>
      <c r="C1073" s="3" t="s">
        <v>105</v>
      </c>
    </row>
    <row r="1074" spans="1:3" ht="15" x14ac:dyDescent="0.25">
      <c r="A1074" s="3" t="s">
        <v>331</v>
      </c>
      <c r="B1074" s="3" t="s">
        <v>606</v>
      </c>
      <c r="C1074" s="3" t="s">
        <v>105</v>
      </c>
    </row>
    <row r="1075" spans="1:3" ht="15" x14ac:dyDescent="0.25">
      <c r="A1075" s="3" t="s">
        <v>120</v>
      </c>
      <c r="B1075" s="3" t="s">
        <v>606</v>
      </c>
      <c r="C1075" s="3" t="s">
        <v>105</v>
      </c>
    </row>
    <row r="1076" spans="1:3" ht="15" x14ac:dyDescent="0.25">
      <c r="A1076" s="3" t="s">
        <v>205</v>
      </c>
      <c r="B1076" s="3" t="s">
        <v>608</v>
      </c>
      <c r="C1076" s="3" t="s">
        <v>105</v>
      </c>
    </row>
    <row r="1077" spans="1:3" ht="15" x14ac:dyDescent="0.25">
      <c r="A1077" s="3" t="s">
        <v>237</v>
      </c>
      <c r="B1077" s="3" t="s">
        <v>608</v>
      </c>
      <c r="C1077" s="3" t="s">
        <v>105</v>
      </c>
    </row>
    <row r="1078" spans="1:3" ht="15" x14ac:dyDescent="0.25">
      <c r="A1078" s="3" t="s">
        <v>288</v>
      </c>
      <c r="B1078" s="3" t="s">
        <v>608</v>
      </c>
      <c r="C1078" s="3" t="s">
        <v>105</v>
      </c>
    </row>
    <row r="1079" spans="1:3" ht="15" x14ac:dyDescent="0.25">
      <c r="A1079" s="3" t="s">
        <v>212</v>
      </c>
      <c r="B1079" s="3" t="s">
        <v>608</v>
      </c>
      <c r="C1079" s="3" t="s">
        <v>105</v>
      </c>
    </row>
    <row r="1080" spans="1:3" ht="15" x14ac:dyDescent="0.25">
      <c r="A1080" s="3" t="s">
        <v>138</v>
      </c>
      <c r="B1080" s="3" t="s">
        <v>608</v>
      </c>
      <c r="C1080" s="3" t="s">
        <v>105</v>
      </c>
    </row>
    <row r="1081" spans="1:3" ht="15" x14ac:dyDescent="0.25">
      <c r="A1081" s="3" t="s">
        <v>214</v>
      </c>
      <c r="B1081" s="3" t="s">
        <v>608</v>
      </c>
      <c r="C1081" s="3" t="s">
        <v>105</v>
      </c>
    </row>
    <row r="1082" spans="1:3" ht="15" x14ac:dyDescent="0.25">
      <c r="A1082" s="3" t="s">
        <v>25</v>
      </c>
      <c r="B1082" s="3" t="s">
        <v>608</v>
      </c>
      <c r="C1082" s="3" t="s">
        <v>105</v>
      </c>
    </row>
    <row r="1083" spans="1:3" ht="15" x14ac:dyDescent="0.25">
      <c r="A1083" s="3" t="s">
        <v>516</v>
      </c>
      <c r="B1083" s="3" t="s">
        <v>608</v>
      </c>
      <c r="C1083" s="3" t="s">
        <v>105</v>
      </c>
    </row>
    <row r="1084" spans="1:3" ht="15" x14ac:dyDescent="0.25">
      <c r="A1084" s="3" t="s">
        <v>107</v>
      </c>
      <c r="B1084" s="3" t="s">
        <v>608</v>
      </c>
      <c r="C1084" s="3" t="s">
        <v>105</v>
      </c>
    </row>
    <row r="1085" spans="1:3" ht="15" x14ac:dyDescent="0.25">
      <c r="A1085" s="3" t="s">
        <v>41</v>
      </c>
      <c r="B1085" s="3" t="s">
        <v>608</v>
      </c>
      <c r="C1085" s="3" t="s">
        <v>105</v>
      </c>
    </row>
    <row r="1086" spans="1:3" ht="15" x14ac:dyDescent="0.25">
      <c r="A1086" s="3" t="s">
        <v>137</v>
      </c>
      <c r="B1086" s="3" t="s">
        <v>608</v>
      </c>
      <c r="C1086" s="3" t="s">
        <v>105</v>
      </c>
    </row>
    <row r="1087" spans="1:3" ht="15" x14ac:dyDescent="0.25">
      <c r="A1087" s="3" t="s">
        <v>177</v>
      </c>
      <c r="B1087" s="3" t="s">
        <v>608</v>
      </c>
      <c r="C1087" s="3" t="s">
        <v>105</v>
      </c>
    </row>
    <row r="1088" spans="1:3" ht="15" x14ac:dyDescent="0.25">
      <c r="A1088" s="3" t="s">
        <v>317</v>
      </c>
      <c r="B1088" s="3" t="s">
        <v>608</v>
      </c>
      <c r="C1088" s="3" t="s">
        <v>105</v>
      </c>
    </row>
    <row r="1089" spans="1:3" ht="15" x14ac:dyDescent="0.25">
      <c r="A1089" s="3" t="s">
        <v>341</v>
      </c>
      <c r="B1089" s="3" t="s">
        <v>608</v>
      </c>
      <c r="C1089" s="3" t="s">
        <v>105</v>
      </c>
    </row>
    <row r="1090" spans="1:3" ht="15" x14ac:dyDescent="0.25">
      <c r="A1090" s="3" t="s">
        <v>300</v>
      </c>
      <c r="B1090" s="3" t="s">
        <v>608</v>
      </c>
      <c r="C1090" s="3" t="s">
        <v>105</v>
      </c>
    </row>
    <row r="1091" spans="1:3" ht="15" x14ac:dyDescent="0.25">
      <c r="A1091" s="3" t="s">
        <v>134</v>
      </c>
      <c r="B1091" s="3" t="s">
        <v>608</v>
      </c>
      <c r="C1091" s="3" t="s">
        <v>105</v>
      </c>
    </row>
    <row r="1092" spans="1:3" ht="15" x14ac:dyDescent="0.25">
      <c r="A1092" s="3" t="s">
        <v>108</v>
      </c>
      <c r="B1092" s="3" t="s">
        <v>608</v>
      </c>
      <c r="C1092" s="3" t="s">
        <v>105</v>
      </c>
    </row>
    <row r="1093" spans="1:3" ht="15" x14ac:dyDescent="0.25">
      <c r="A1093" s="3" t="s">
        <v>261</v>
      </c>
      <c r="B1093" s="3" t="s">
        <v>608</v>
      </c>
      <c r="C1093" s="3" t="s">
        <v>105</v>
      </c>
    </row>
    <row r="1094" spans="1:3" ht="15" x14ac:dyDescent="0.25">
      <c r="A1094" s="3" t="s">
        <v>111</v>
      </c>
      <c r="B1094" s="3" t="s">
        <v>608</v>
      </c>
      <c r="C1094" s="3" t="s">
        <v>105</v>
      </c>
    </row>
    <row r="1095" spans="1:3" ht="15" x14ac:dyDescent="0.25">
      <c r="A1095" s="3" t="s">
        <v>67</v>
      </c>
      <c r="B1095" s="3" t="s">
        <v>608</v>
      </c>
      <c r="C1095" s="3" t="s">
        <v>105</v>
      </c>
    </row>
    <row r="1096" spans="1:3" ht="15" x14ac:dyDescent="0.25">
      <c r="A1096" s="3" t="s">
        <v>343</v>
      </c>
      <c r="B1096" s="3" t="s">
        <v>608</v>
      </c>
      <c r="C1096" s="3" t="s">
        <v>105</v>
      </c>
    </row>
    <row r="1097" spans="1:3" ht="15" x14ac:dyDescent="0.25">
      <c r="A1097" s="3" t="s">
        <v>70</v>
      </c>
      <c r="B1097" s="3" t="s">
        <v>608</v>
      </c>
      <c r="C1097" s="3" t="s">
        <v>105</v>
      </c>
    </row>
    <row r="1098" spans="1:3" ht="15" x14ac:dyDescent="0.25">
      <c r="A1098" s="3" t="s">
        <v>78</v>
      </c>
      <c r="B1098" s="3" t="s">
        <v>608</v>
      </c>
      <c r="C1098" s="3" t="s">
        <v>105</v>
      </c>
    </row>
    <row r="1099" spans="1:3" ht="15" x14ac:dyDescent="0.25">
      <c r="A1099" s="3" t="s">
        <v>86</v>
      </c>
      <c r="B1099" s="3" t="s">
        <v>608</v>
      </c>
      <c r="C1099" s="3" t="s">
        <v>105</v>
      </c>
    </row>
    <row r="1100" spans="1:3" ht="15" x14ac:dyDescent="0.25">
      <c r="A1100" s="3" t="s">
        <v>87</v>
      </c>
      <c r="B1100" s="3" t="s">
        <v>608</v>
      </c>
      <c r="C1100" s="3" t="s">
        <v>105</v>
      </c>
    </row>
    <row r="1101" spans="1:3" ht="15" x14ac:dyDescent="0.25">
      <c r="A1101" s="3" t="s">
        <v>118</v>
      </c>
      <c r="B1101" s="3" t="s">
        <v>608</v>
      </c>
      <c r="C1101" s="3" t="s">
        <v>105</v>
      </c>
    </row>
    <row r="1102" spans="1:3" ht="15" x14ac:dyDescent="0.25">
      <c r="A1102" s="3" t="s">
        <v>326</v>
      </c>
      <c r="B1102" s="3" t="s">
        <v>608</v>
      </c>
      <c r="C1102" s="3" t="s">
        <v>105</v>
      </c>
    </row>
    <row r="1103" spans="1:3" ht="15" x14ac:dyDescent="0.25">
      <c r="A1103" s="3" t="s">
        <v>270</v>
      </c>
      <c r="B1103" s="3" t="s">
        <v>608</v>
      </c>
      <c r="C1103" s="3" t="s">
        <v>105</v>
      </c>
    </row>
    <row r="1104" spans="1:3" ht="15" x14ac:dyDescent="0.25">
      <c r="A1104" s="3" t="s">
        <v>539</v>
      </c>
      <c r="B1104" s="3" t="s">
        <v>608</v>
      </c>
      <c r="C1104" s="3" t="s">
        <v>105</v>
      </c>
    </row>
    <row r="1105" spans="1:3" ht="15" x14ac:dyDescent="0.25">
      <c r="A1105" s="3" t="s">
        <v>208</v>
      </c>
      <c r="B1105" s="3" t="s">
        <v>608</v>
      </c>
      <c r="C1105" s="3" t="s">
        <v>105</v>
      </c>
    </row>
    <row r="1106" spans="1:3" ht="15" x14ac:dyDescent="0.25">
      <c r="A1106" s="3" t="s">
        <v>119</v>
      </c>
      <c r="B1106" s="3" t="s">
        <v>608</v>
      </c>
      <c r="C1106" s="3" t="s">
        <v>105</v>
      </c>
    </row>
    <row r="1107" spans="1:3" ht="15" x14ac:dyDescent="0.25">
      <c r="A1107" s="3" t="s">
        <v>613</v>
      </c>
      <c r="B1107" s="3" t="s">
        <v>608</v>
      </c>
      <c r="C1107" s="3" t="s">
        <v>105</v>
      </c>
    </row>
    <row r="1108" spans="1:3" ht="15" x14ac:dyDescent="0.25">
      <c r="A1108" s="3" t="s">
        <v>614</v>
      </c>
      <c r="B1108" s="3" t="s">
        <v>615</v>
      </c>
      <c r="C1108" s="3" t="s">
        <v>280</v>
      </c>
    </row>
    <row r="1109" spans="1:3" ht="15" x14ac:dyDescent="0.25">
      <c r="A1109" s="3" t="s">
        <v>205</v>
      </c>
      <c r="B1109" s="3" t="s">
        <v>615</v>
      </c>
      <c r="C1109" s="3" t="s">
        <v>280</v>
      </c>
    </row>
    <row r="1110" spans="1:3" ht="15" x14ac:dyDescent="0.25">
      <c r="A1110" s="3" t="s">
        <v>233</v>
      </c>
      <c r="B1110" s="3" t="s">
        <v>615</v>
      </c>
      <c r="C1110" s="3" t="s">
        <v>280</v>
      </c>
    </row>
    <row r="1111" spans="1:3" ht="15" x14ac:dyDescent="0.25">
      <c r="A1111" s="3" t="s">
        <v>31</v>
      </c>
      <c r="B1111" s="3" t="s">
        <v>615</v>
      </c>
      <c r="C1111" s="3" t="s">
        <v>280</v>
      </c>
    </row>
    <row r="1112" spans="1:3" ht="15" x14ac:dyDescent="0.25">
      <c r="A1112" s="3" t="s">
        <v>492</v>
      </c>
      <c r="B1112" s="3" t="s">
        <v>615</v>
      </c>
      <c r="C1112" s="3" t="s">
        <v>280</v>
      </c>
    </row>
    <row r="1113" spans="1:3" ht="15" x14ac:dyDescent="0.25">
      <c r="A1113" s="3" t="s">
        <v>564</v>
      </c>
      <c r="B1113" s="3" t="s">
        <v>615</v>
      </c>
      <c r="C1113" s="3" t="s">
        <v>280</v>
      </c>
    </row>
    <row r="1114" spans="1:3" ht="15" x14ac:dyDescent="0.25">
      <c r="A1114" s="3" t="s">
        <v>107</v>
      </c>
      <c r="B1114" s="3" t="s">
        <v>615</v>
      </c>
      <c r="C1114" s="3" t="s">
        <v>280</v>
      </c>
    </row>
    <row r="1115" spans="1:3" ht="15" x14ac:dyDescent="0.25">
      <c r="A1115" s="3" t="s">
        <v>220</v>
      </c>
      <c r="B1115" s="3" t="s">
        <v>615</v>
      </c>
      <c r="C1115" s="3" t="s">
        <v>280</v>
      </c>
    </row>
    <row r="1116" spans="1:3" ht="15" x14ac:dyDescent="0.25">
      <c r="A1116" s="3" t="s">
        <v>616</v>
      </c>
      <c r="B1116" s="3" t="s">
        <v>615</v>
      </c>
      <c r="C1116" s="3" t="s">
        <v>280</v>
      </c>
    </row>
    <row r="1117" spans="1:3" ht="15" x14ac:dyDescent="0.25">
      <c r="A1117" s="3" t="s">
        <v>62</v>
      </c>
      <c r="B1117" s="3" t="s">
        <v>615</v>
      </c>
      <c r="C1117" s="3" t="s">
        <v>280</v>
      </c>
    </row>
    <row r="1118" spans="1:3" ht="15" x14ac:dyDescent="0.25">
      <c r="A1118" s="3" t="s">
        <v>201</v>
      </c>
      <c r="B1118" s="3" t="s">
        <v>615</v>
      </c>
      <c r="C1118" s="3" t="s">
        <v>280</v>
      </c>
    </row>
    <row r="1119" spans="1:3" ht="15" x14ac:dyDescent="0.25">
      <c r="A1119" s="3" t="s">
        <v>266</v>
      </c>
      <c r="B1119" s="3" t="s">
        <v>615</v>
      </c>
      <c r="C1119" s="3" t="s">
        <v>280</v>
      </c>
    </row>
    <row r="1120" spans="1:3" ht="15" x14ac:dyDescent="0.25">
      <c r="A1120" s="3" t="s">
        <v>267</v>
      </c>
      <c r="B1120" s="3" t="s">
        <v>615</v>
      </c>
      <c r="C1120" s="3" t="s">
        <v>280</v>
      </c>
    </row>
    <row r="1121" spans="1:3" ht="15" x14ac:dyDescent="0.25">
      <c r="A1121" s="3" t="s">
        <v>376</v>
      </c>
      <c r="B1121" s="3" t="s">
        <v>615</v>
      </c>
      <c r="C1121" s="3" t="s">
        <v>280</v>
      </c>
    </row>
    <row r="1122" spans="1:3" ht="15" x14ac:dyDescent="0.25">
      <c r="A1122" s="3" t="s">
        <v>537</v>
      </c>
      <c r="B1122" s="3" t="s">
        <v>615</v>
      </c>
      <c r="C1122" s="3" t="s">
        <v>280</v>
      </c>
    </row>
    <row r="1123" spans="1:3" ht="15" x14ac:dyDescent="0.25">
      <c r="A1123" s="3" t="s">
        <v>164</v>
      </c>
      <c r="B1123" s="3" t="s">
        <v>618</v>
      </c>
      <c r="C1123" s="3" t="s">
        <v>280</v>
      </c>
    </row>
    <row r="1124" spans="1:3" ht="15" x14ac:dyDescent="0.25">
      <c r="A1124" s="3" t="s">
        <v>189</v>
      </c>
      <c r="B1124" s="3" t="s">
        <v>618</v>
      </c>
      <c r="C1124" s="3" t="s">
        <v>280</v>
      </c>
    </row>
    <row r="1125" spans="1:3" ht="15" x14ac:dyDescent="0.25">
      <c r="A1125" s="3" t="s">
        <v>170</v>
      </c>
      <c r="B1125" s="3" t="s">
        <v>618</v>
      </c>
      <c r="C1125" s="3" t="s">
        <v>280</v>
      </c>
    </row>
    <row r="1126" spans="1:3" ht="15" x14ac:dyDescent="0.25">
      <c r="A1126" s="3" t="s">
        <v>46</v>
      </c>
      <c r="B1126" s="3" t="s">
        <v>618</v>
      </c>
      <c r="C1126" s="3" t="s">
        <v>280</v>
      </c>
    </row>
    <row r="1127" spans="1:3" ht="15" x14ac:dyDescent="0.25">
      <c r="A1127" s="3" t="s">
        <v>316</v>
      </c>
      <c r="B1127" s="3" t="s">
        <v>618</v>
      </c>
      <c r="C1127" s="3" t="s">
        <v>280</v>
      </c>
    </row>
    <row r="1128" spans="1:3" ht="15" x14ac:dyDescent="0.25">
      <c r="A1128" s="3" t="s">
        <v>529</v>
      </c>
      <c r="B1128" s="3" t="s">
        <v>618</v>
      </c>
      <c r="C1128" s="3" t="s">
        <v>280</v>
      </c>
    </row>
    <row r="1129" spans="1:3" ht="15" x14ac:dyDescent="0.25">
      <c r="A1129" s="3" t="s">
        <v>81</v>
      </c>
      <c r="B1129" s="3" t="s">
        <v>618</v>
      </c>
      <c r="C1129" s="3" t="s">
        <v>280</v>
      </c>
    </row>
    <row r="1130" spans="1:3" ht="15" x14ac:dyDescent="0.25">
      <c r="A1130" s="3" t="s">
        <v>375</v>
      </c>
      <c r="B1130" s="3" t="s">
        <v>618</v>
      </c>
      <c r="C1130" s="3" t="s">
        <v>280</v>
      </c>
    </row>
    <row r="1131" spans="1:3" ht="15" x14ac:dyDescent="0.25">
      <c r="A1131" s="3" t="s">
        <v>391</v>
      </c>
      <c r="B1131" s="3" t="s">
        <v>618</v>
      </c>
      <c r="C1131" s="3" t="s">
        <v>280</v>
      </c>
    </row>
    <row r="1132" spans="1:3" ht="15" x14ac:dyDescent="0.25">
      <c r="A1132" s="3" t="s">
        <v>170</v>
      </c>
      <c r="B1132" s="3" t="s">
        <v>619</v>
      </c>
      <c r="C1132" s="3" t="s">
        <v>168</v>
      </c>
    </row>
    <row r="1133" spans="1:3" ht="15" x14ac:dyDescent="0.25">
      <c r="A1133" s="3" t="s">
        <v>135</v>
      </c>
      <c r="B1133" s="3" t="s">
        <v>619</v>
      </c>
      <c r="C1133" s="3" t="s">
        <v>168</v>
      </c>
    </row>
    <row r="1134" spans="1:3" ht="15" x14ac:dyDescent="0.25">
      <c r="A1134" s="3" t="s">
        <v>172</v>
      </c>
      <c r="B1134" s="3" t="s">
        <v>619</v>
      </c>
      <c r="C1134" s="3" t="s">
        <v>168</v>
      </c>
    </row>
    <row r="1135" spans="1:3" ht="15" x14ac:dyDescent="0.25">
      <c r="A1135" s="3" t="s">
        <v>175</v>
      </c>
      <c r="B1135" s="3" t="s">
        <v>619</v>
      </c>
      <c r="C1135" s="3" t="s">
        <v>168</v>
      </c>
    </row>
    <row r="1136" spans="1:3" ht="15" x14ac:dyDescent="0.25">
      <c r="A1136" s="3" t="s">
        <v>177</v>
      </c>
      <c r="B1136" s="3" t="s">
        <v>619</v>
      </c>
      <c r="C1136" s="3" t="s">
        <v>168</v>
      </c>
    </row>
    <row r="1137" spans="1:3" ht="15" x14ac:dyDescent="0.25">
      <c r="A1137" s="3" t="s">
        <v>181</v>
      </c>
      <c r="B1137" s="3" t="s">
        <v>619</v>
      </c>
      <c r="C1137" s="3" t="s">
        <v>168</v>
      </c>
    </row>
    <row r="1138" spans="1:3" ht="15" x14ac:dyDescent="0.25">
      <c r="A1138" s="3" t="s">
        <v>183</v>
      </c>
      <c r="B1138" s="3" t="s">
        <v>620</v>
      </c>
      <c r="C1138" s="3" t="s">
        <v>105</v>
      </c>
    </row>
    <row r="1139" spans="1:3" ht="15" x14ac:dyDescent="0.25">
      <c r="A1139" s="3" t="s">
        <v>286</v>
      </c>
      <c r="B1139" s="3" t="s">
        <v>620</v>
      </c>
      <c r="C1139" s="3" t="s">
        <v>105</v>
      </c>
    </row>
    <row r="1140" spans="1:3" ht="15" x14ac:dyDescent="0.25">
      <c r="A1140" s="3" t="s">
        <v>486</v>
      </c>
      <c r="B1140" s="3" t="s">
        <v>620</v>
      </c>
      <c r="C1140" s="3" t="s">
        <v>105</v>
      </c>
    </row>
    <row r="1141" spans="1:3" ht="15" x14ac:dyDescent="0.25">
      <c r="A1141" s="3" t="s">
        <v>536</v>
      </c>
      <c r="B1141" s="3" t="s">
        <v>620</v>
      </c>
      <c r="C1141" s="3" t="s">
        <v>105</v>
      </c>
    </row>
    <row r="1142" spans="1:3" ht="15" x14ac:dyDescent="0.25">
      <c r="A1142" s="3" t="s">
        <v>621</v>
      </c>
      <c r="B1142" s="3" t="s">
        <v>620</v>
      </c>
      <c r="C1142" s="3" t="s">
        <v>105</v>
      </c>
    </row>
    <row r="1143" spans="1:3" ht="15" x14ac:dyDescent="0.25">
      <c r="A1143" s="3" t="s">
        <v>241</v>
      </c>
      <c r="B1143" s="3" t="s">
        <v>620</v>
      </c>
      <c r="C1143" s="3" t="s">
        <v>105</v>
      </c>
    </row>
    <row r="1144" spans="1:3" ht="15" x14ac:dyDescent="0.25">
      <c r="A1144" s="3" t="s">
        <v>513</v>
      </c>
      <c r="B1144" s="3" t="s">
        <v>620</v>
      </c>
      <c r="C1144" s="3" t="s">
        <v>105</v>
      </c>
    </row>
    <row r="1145" spans="1:3" ht="15" x14ac:dyDescent="0.25">
      <c r="A1145" s="3" t="s">
        <v>541</v>
      </c>
      <c r="B1145" s="3" t="s">
        <v>620</v>
      </c>
      <c r="C1145" s="3" t="s">
        <v>105</v>
      </c>
    </row>
    <row r="1146" spans="1:3" ht="15" x14ac:dyDescent="0.25">
      <c r="A1146" s="3" t="s">
        <v>194</v>
      </c>
      <c r="B1146" s="3" t="s">
        <v>620</v>
      </c>
      <c r="C1146" s="3" t="s">
        <v>105</v>
      </c>
    </row>
    <row r="1147" spans="1:3" ht="15" x14ac:dyDescent="0.25">
      <c r="A1147" s="3" t="s">
        <v>604</v>
      </c>
      <c r="B1147" s="3" t="s">
        <v>620</v>
      </c>
      <c r="C1147" s="3" t="s">
        <v>105</v>
      </c>
    </row>
    <row r="1148" spans="1:3" ht="15" x14ac:dyDescent="0.25">
      <c r="A1148" s="3" t="s">
        <v>219</v>
      </c>
      <c r="B1148" s="3" t="s">
        <v>620</v>
      </c>
      <c r="C1148" s="3" t="s">
        <v>105</v>
      </c>
    </row>
    <row r="1149" spans="1:3" ht="15" x14ac:dyDescent="0.25">
      <c r="A1149" s="3" t="s">
        <v>196</v>
      </c>
      <c r="B1149" s="3" t="s">
        <v>620</v>
      </c>
      <c r="C1149" s="3" t="s">
        <v>105</v>
      </c>
    </row>
    <row r="1150" spans="1:3" ht="15" x14ac:dyDescent="0.25">
      <c r="A1150" s="3" t="s">
        <v>256</v>
      </c>
      <c r="B1150" s="3" t="s">
        <v>620</v>
      </c>
      <c r="C1150" s="3" t="s">
        <v>105</v>
      </c>
    </row>
    <row r="1151" spans="1:3" ht="15" x14ac:dyDescent="0.25">
      <c r="A1151" s="3" t="s">
        <v>198</v>
      </c>
      <c r="B1151" s="3" t="s">
        <v>620</v>
      </c>
      <c r="C1151" s="3" t="s">
        <v>105</v>
      </c>
    </row>
    <row r="1152" spans="1:3" ht="15" x14ac:dyDescent="0.25">
      <c r="A1152" s="3" t="s">
        <v>308</v>
      </c>
      <c r="B1152" s="3" t="s">
        <v>620</v>
      </c>
      <c r="C1152" s="3" t="s">
        <v>105</v>
      </c>
    </row>
    <row r="1153" spans="1:3" ht="15" x14ac:dyDescent="0.25">
      <c r="A1153" s="3" t="s">
        <v>175</v>
      </c>
      <c r="B1153" s="3" t="s">
        <v>620</v>
      </c>
      <c r="C1153" s="3" t="s">
        <v>105</v>
      </c>
    </row>
    <row r="1154" spans="1:3" ht="15" x14ac:dyDescent="0.25">
      <c r="A1154" s="3" t="s">
        <v>200</v>
      </c>
      <c r="B1154" s="3" t="s">
        <v>620</v>
      </c>
      <c r="C1154" s="3" t="s">
        <v>105</v>
      </c>
    </row>
    <row r="1155" spans="1:3" ht="15" x14ac:dyDescent="0.25">
      <c r="A1155" s="3" t="s">
        <v>52</v>
      </c>
      <c r="B1155" s="3" t="s">
        <v>620</v>
      </c>
      <c r="C1155" s="3" t="s">
        <v>105</v>
      </c>
    </row>
    <row r="1156" spans="1:3" ht="15" x14ac:dyDescent="0.25">
      <c r="A1156" s="3" t="s">
        <v>454</v>
      </c>
      <c r="B1156" s="3" t="s">
        <v>620</v>
      </c>
      <c r="C1156" s="3" t="s">
        <v>105</v>
      </c>
    </row>
    <row r="1157" spans="1:3" ht="15" x14ac:dyDescent="0.25">
      <c r="A1157" s="3" t="s">
        <v>109</v>
      </c>
      <c r="B1157" s="3" t="s">
        <v>620</v>
      </c>
      <c r="C1157" s="3" t="s">
        <v>105</v>
      </c>
    </row>
    <row r="1158" spans="1:3" ht="15" x14ac:dyDescent="0.25">
      <c r="A1158" s="3" t="s">
        <v>367</v>
      </c>
      <c r="B1158" s="3" t="s">
        <v>620</v>
      </c>
      <c r="C1158" s="3" t="s">
        <v>105</v>
      </c>
    </row>
    <row r="1159" spans="1:3" ht="15" x14ac:dyDescent="0.25">
      <c r="A1159" s="3" t="s">
        <v>263</v>
      </c>
      <c r="B1159" s="3" t="s">
        <v>620</v>
      </c>
      <c r="C1159" s="3" t="s">
        <v>105</v>
      </c>
    </row>
    <row r="1160" spans="1:3" ht="15" x14ac:dyDescent="0.25">
      <c r="A1160" s="3" t="s">
        <v>306</v>
      </c>
      <c r="B1160" s="3" t="s">
        <v>620</v>
      </c>
      <c r="C1160" s="3" t="s">
        <v>105</v>
      </c>
    </row>
    <row r="1161" spans="1:3" ht="15" x14ac:dyDescent="0.25">
      <c r="A1161" s="3" t="s">
        <v>201</v>
      </c>
      <c r="B1161" s="3" t="s">
        <v>620</v>
      </c>
      <c r="C1161" s="3" t="s">
        <v>105</v>
      </c>
    </row>
    <row r="1162" spans="1:3" ht="15" x14ac:dyDescent="0.25">
      <c r="A1162" s="3" t="s">
        <v>527</v>
      </c>
      <c r="B1162" s="3" t="s">
        <v>620</v>
      </c>
      <c r="C1162" s="3" t="s">
        <v>105</v>
      </c>
    </row>
    <row r="1163" spans="1:3" ht="15" x14ac:dyDescent="0.25">
      <c r="A1163" s="3" t="s">
        <v>114</v>
      </c>
      <c r="B1163" s="3" t="s">
        <v>620</v>
      </c>
      <c r="C1163" s="3" t="s">
        <v>105</v>
      </c>
    </row>
    <row r="1164" spans="1:3" ht="15" x14ac:dyDescent="0.25">
      <c r="A1164" s="3" t="s">
        <v>267</v>
      </c>
      <c r="B1164" s="3" t="s">
        <v>620</v>
      </c>
      <c r="C1164" s="3" t="s">
        <v>105</v>
      </c>
    </row>
    <row r="1165" spans="1:3" ht="15" x14ac:dyDescent="0.25">
      <c r="A1165" s="3" t="s">
        <v>75</v>
      </c>
      <c r="B1165" s="3" t="s">
        <v>620</v>
      </c>
      <c r="C1165" s="3" t="s">
        <v>105</v>
      </c>
    </row>
    <row r="1166" spans="1:3" ht="15" x14ac:dyDescent="0.25">
      <c r="A1166" s="3" t="s">
        <v>344</v>
      </c>
      <c r="B1166" s="3" t="s">
        <v>620</v>
      </c>
      <c r="C1166" s="3" t="s">
        <v>105</v>
      </c>
    </row>
    <row r="1167" spans="1:3" ht="15" x14ac:dyDescent="0.25">
      <c r="A1167" s="3" t="s">
        <v>91</v>
      </c>
      <c r="B1167" s="3" t="s">
        <v>620</v>
      </c>
      <c r="C1167" s="3" t="s">
        <v>105</v>
      </c>
    </row>
    <row r="1168" spans="1:3" ht="15" x14ac:dyDescent="0.25">
      <c r="A1168" s="3" t="s">
        <v>202</v>
      </c>
      <c r="B1168" s="3" t="s">
        <v>620</v>
      </c>
      <c r="C1168" s="3" t="s">
        <v>105</v>
      </c>
    </row>
    <row r="1169" spans="1:3" ht="15" x14ac:dyDescent="0.25">
      <c r="A1169" s="3" t="s">
        <v>272</v>
      </c>
      <c r="B1169" s="3" t="s">
        <v>620</v>
      </c>
      <c r="C1169" s="3" t="s">
        <v>105</v>
      </c>
    </row>
    <row r="1170" spans="1:3" ht="15" x14ac:dyDescent="0.25">
      <c r="A1170" s="3" t="s">
        <v>508</v>
      </c>
      <c r="B1170" s="3" t="s">
        <v>620</v>
      </c>
      <c r="C1170" s="3" t="s">
        <v>105</v>
      </c>
    </row>
    <row r="1171" spans="1:3" ht="15" x14ac:dyDescent="0.25">
      <c r="A1171" s="3" t="s">
        <v>370</v>
      </c>
      <c r="B1171" s="3" t="s">
        <v>620</v>
      </c>
      <c r="C1171" s="3" t="s">
        <v>105</v>
      </c>
    </row>
    <row r="1172" spans="1:3" ht="15" x14ac:dyDescent="0.25">
      <c r="A1172" s="3" t="s">
        <v>101</v>
      </c>
      <c r="B1172" s="3" t="s">
        <v>620</v>
      </c>
      <c r="C1172" s="3" t="s">
        <v>105</v>
      </c>
    </row>
    <row r="1173" spans="1:3" ht="15" x14ac:dyDescent="0.25">
      <c r="A1173" s="3" t="s">
        <v>530</v>
      </c>
      <c r="B1173" s="3" t="s">
        <v>620</v>
      </c>
      <c r="C1173" s="3" t="s">
        <v>105</v>
      </c>
    </row>
    <row r="1174" spans="1:3" ht="15" x14ac:dyDescent="0.25">
      <c r="A1174" s="3" t="s">
        <v>120</v>
      </c>
      <c r="B1174" s="3" t="s">
        <v>620</v>
      </c>
      <c r="C1174" s="3" t="s">
        <v>105</v>
      </c>
    </row>
    <row r="1175" spans="1:3" ht="15" x14ac:dyDescent="0.25">
      <c r="A1175" s="3" t="s">
        <v>181</v>
      </c>
      <c r="B1175" s="3" t="s">
        <v>620</v>
      </c>
      <c r="C1175" s="3" t="s">
        <v>105</v>
      </c>
    </row>
    <row r="1176" spans="1:3" ht="15" x14ac:dyDescent="0.25">
      <c r="A1176" s="3" t="s">
        <v>145</v>
      </c>
      <c r="B1176" s="3" t="s">
        <v>620</v>
      </c>
      <c r="C1176" s="3" t="s">
        <v>105</v>
      </c>
    </row>
    <row r="1177" spans="1:3" ht="15" x14ac:dyDescent="0.25">
      <c r="A1177" s="3" t="s">
        <v>182</v>
      </c>
      <c r="B1177" s="3" t="s">
        <v>620</v>
      </c>
      <c r="C1177" s="3" t="s">
        <v>105</v>
      </c>
    </row>
    <row r="1178" spans="1:3" ht="15" x14ac:dyDescent="0.25">
      <c r="A1178" s="3" t="s">
        <v>124</v>
      </c>
      <c r="B1178" s="3" t="s">
        <v>622</v>
      </c>
      <c r="C1178" s="3" t="s">
        <v>105</v>
      </c>
    </row>
    <row r="1179" spans="1:3" ht="15" x14ac:dyDescent="0.25">
      <c r="A1179" s="3" t="s">
        <v>281</v>
      </c>
      <c r="B1179" s="3" t="s">
        <v>622</v>
      </c>
      <c r="C1179" s="3" t="s">
        <v>105</v>
      </c>
    </row>
    <row r="1180" spans="1:3" ht="15" x14ac:dyDescent="0.25">
      <c r="A1180" s="3" t="s">
        <v>10</v>
      </c>
      <c r="B1180" s="3" t="s">
        <v>622</v>
      </c>
      <c r="C1180" s="3" t="s">
        <v>105</v>
      </c>
    </row>
    <row r="1181" spans="1:3" ht="15" x14ac:dyDescent="0.25">
      <c r="A1181" s="3" t="s">
        <v>188</v>
      </c>
      <c r="B1181" s="3" t="s">
        <v>622</v>
      </c>
      <c r="C1181" s="3" t="s">
        <v>105</v>
      </c>
    </row>
    <row r="1182" spans="1:3" ht="15" x14ac:dyDescent="0.25">
      <c r="A1182" s="3" t="s">
        <v>106</v>
      </c>
      <c r="B1182" s="3" t="s">
        <v>622</v>
      </c>
      <c r="C1182" s="3" t="s">
        <v>105</v>
      </c>
    </row>
    <row r="1183" spans="1:3" ht="15" x14ac:dyDescent="0.25">
      <c r="A1183" s="3" t="s">
        <v>388</v>
      </c>
      <c r="B1183" s="3" t="s">
        <v>622</v>
      </c>
      <c r="C1183" s="3" t="s">
        <v>105</v>
      </c>
    </row>
    <row r="1184" spans="1:3" ht="15" x14ac:dyDescent="0.25">
      <c r="A1184" s="3" t="s">
        <v>464</v>
      </c>
      <c r="B1184" s="3" t="s">
        <v>622</v>
      </c>
      <c r="C1184" s="3" t="s">
        <v>105</v>
      </c>
    </row>
    <row r="1185" spans="1:3" ht="15" x14ac:dyDescent="0.25">
      <c r="A1185" s="3" t="s">
        <v>243</v>
      </c>
      <c r="B1185" s="3" t="s">
        <v>622</v>
      </c>
      <c r="C1185" s="3" t="s">
        <v>105</v>
      </c>
    </row>
    <row r="1186" spans="1:3" ht="15" x14ac:dyDescent="0.25">
      <c r="A1186" s="3" t="s">
        <v>244</v>
      </c>
      <c r="B1186" s="3" t="s">
        <v>622</v>
      </c>
      <c r="C1186" s="3" t="s">
        <v>105</v>
      </c>
    </row>
    <row r="1187" spans="1:3" ht="15" x14ac:dyDescent="0.25">
      <c r="A1187" s="3" t="s">
        <v>541</v>
      </c>
      <c r="B1187" s="3" t="s">
        <v>622</v>
      </c>
      <c r="C1187" s="3" t="s">
        <v>105</v>
      </c>
    </row>
    <row r="1188" spans="1:3" ht="15" x14ac:dyDescent="0.25">
      <c r="A1188" s="3" t="s">
        <v>31</v>
      </c>
      <c r="B1188" s="3" t="s">
        <v>622</v>
      </c>
      <c r="C1188" s="3" t="s">
        <v>105</v>
      </c>
    </row>
    <row r="1189" spans="1:3" ht="15" x14ac:dyDescent="0.25">
      <c r="A1189" s="3" t="s">
        <v>146</v>
      </c>
      <c r="B1189" s="3" t="s">
        <v>622</v>
      </c>
      <c r="C1189" s="3" t="s">
        <v>105</v>
      </c>
    </row>
    <row r="1190" spans="1:3" ht="15" x14ac:dyDescent="0.25">
      <c r="A1190" s="3" t="s">
        <v>256</v>
      </c>
      <c r="B1190" s="3" t="s">
        <v>622</v>
      </c>
      <c r="C1190" s="3" t="s">
        <v>105</v>
      </c>
    </row>
    <row r="1191" spans="1:3" ht="15" x14ac:dyDescent="0.25">
      <c r="A1191" s="3" t="s">
        <v>43</v>
      </c>
      <c r="B1191" s="3" t="s">
        <v>622</v>
      </c>
      <c r="C1191" s="3" t="s">
        <v>105</v>
      </c>
    </row>
    <row r="1192" spans="1:3" ht="15" x14ac:dyDescent="0.25">
      <c r="A1192" s="3" t="s">
        <v>310</v>
      </c>
      <c r="B1192" s="3" t="s">
        <v>622</v>
      </c>
      <c r="C1192" s="3" t="s">
        <v>105</v>
      </c>
    </row>
    <row r="1193" spans="1:3" ht="15" x14ac:dyDescent="0.25">
      <c r="A1193" s="3" t="s">
        <v>545</v>
      </c>
      <c r="B1193" s="3" t="s">
        <v>622</v>
      </c>
      <c r="C1193" s="3" t="s">
        <v>105</v>
      </c>
    </row>
    <row r="1194" spans="1:3" ht="15" x14ac:dyDescent="0.25">
      <c r="A1194" s="3" t="s">
        <v>314</v>
      </c>
      <c r="B1194" s="3" t="s">
        <v>622</v>
      </c>
      <c r="C1194" s="3" t="s">
        <v>105</v>
      </c>
    </row>
    <row r="1195" spans="1:3" ht="15" x14ac:dyDescent="0.25">
      <c r="A1195" s="3" t="s">
        <v>177</v>
      </c>
      <c r="B1195" s="3" t="s">
        <v>622</v>
      </c>
      <c r="C1195" s="3" t="s">
        <v>105</v>
      </c>
    </row>
    <row r="1196" spans="1:3" ht="15" x14ac:dyDescent="0.25">
      <c r="A1196" s="3" t="s">
        <v>257</v>
      </c>
      <c r="B1196" s="3" t="s">
        <v>622</v>
      </c>
      <c r="C1196" s="3" t="s">
        <v>105</v>
      </c>
    </row>
    <row r="1197" spans="1:3" ht="15" x14ac:dyDescent="0.25">
      <c r="A1197" s="3" t="s">
        <v>108</v>
      </c>
      <c r="B1197" s="3" t="s">
        <v>622</v>
      </c>
      <c r="C1197" s="3" t="s">
        <v>105</v>
      </c>
    </row>
    <row r="1198" spans="1:3" ht="15" x14ac:dyDescent="0.25">
      <c r="A1198" s="3" t="s">
        <v>111</v>
      </c>
      <c r="B1198" s="3" t="s">
        <v>622</v>
      </c>
      <c r="C1198" s="3" t="s">
        <v>105</v>
      </c>
    </row>
    <row r="1199" spans="1:3" ht="15" x14ac:dyDescent="0.25">
      <c r="A1199" s="3" t="s">
        <v>616</v>
      </c>
      <c r="B1199" s="3" t="s">
        <v>622</v>
      </c>
      <c r="C1199" s="3" t="s">
        <v>105</v>
      </c>
    </row>
    <row r="1200" spans="1:3" ht="15" x14ac:dyDescent="0.25">
      <c r="A1200" s="3" t="s">
        <v>67</v>
      </c>
      <c r="B1200" s="3" t="s">
        <v>622</v>
      </c>
      <c r="C1200" s="3" t="s">
        <v>105</v>
      </c>
    </row>
    <row r="1201" spans="1:3" ht="15" x14ac:dyDescent="0.25">
      <c r="A1201" s="3" t="s">
        <v>72</v>
      </c>
      <c r="B1201" s="3" t="s">
        <v>622</v>
      </c>
      <c r="C1201" s="3" t="s">
        <v>105</v>
      </c>
    </row>
    <row r="1202" spans="1:3" ht="15" x14ac:dyDescent="0.25">
      <c r="A1202" s="3" t="s">
        <v>265</v>
      </c>
      <c r="B1202" s="3" t="s">
        <v>622</v>
      </c>
      <c r="C1202" s="3" t="s">
        <v>105</v>
      </c>
    </row>
    <row r="1203" spans="1:3" ht="15" x14ac:dyDescent="0.25">
      <c r="A1203" s="3" t="s">
        <v>267</v>
      </c>
      <c r="B1203" s="3" t="s">
        <v>622</v>
      </c>
      <c r="C1203" s="3" t="s">
        <v>105</v>
      </c>
    </row>
    <row r="1204" spans="1:3" ht="15" x14ac:dyDescent="0.25">
      <c r="A1204" s="3" t="s">
        <v>78</v>
      </c>
      <c r="B1204" s="3" t="s">
        <v>622</v>
      </c>
      <c r="C1204" s="3" t="s">
        <v>105</v>
      </c>
    </row>
    <row r="1205" spans="1:3" ht="15" x14ac:dyDescent="0.25">
      <c r="A1205" s="3" t="s">
        <v>391</v>
      </c>
      <c r="B1205" s="3" t="s">
        <v>622</v>
      </c>
      <c r="C1205" s="3" t="s">
        <v>105</v>
      </c>
    </row>
    <row r="1206" spans="1:3" ht="15" x14ac:dyDescent="0.25">
      <c r="A1206" s="3" t="s">
        <v>86</v>
      </c>
      <c r="B1206" s="3" t="s">
        <v>622</v>
      </c>
      <c r="C1206" s="3" t="s">
        <v>105</v>
      </c>
    </row>
    <row r="1207" spans="1:3" ht="15" x14ac:dyDescent="0.25">
      <c r="A1207" s="3" t="s">
        <v>87</v>
      </c>
      <c r="B1207" s="3" t="s">
        <v>622</v>
      </c>
      <c r="C1207" s="3" t="s">
        <v>105</v>
      </c>
    </row>
    <row r="1208" spans="1:3" ht="15" x14ac:dyDescent="0.25">
      <c r="A1208" s="3" t="s">
        <v>88</v>
      </c>
      <c r="B1208" s="3" t="s">
        <v>622</v>
      </c>
      <c r="C1208" s="3" t="s">
        <v>105</v>
      </c>
    </row>
    <row r="1209" spans="1:3" ht="15" x14ac:dyDescent="0.25">
      <c r="A1209" s="3" t="s">
        <v>90</v>
      </c>
      <c r="B1209" s="3" t="s">
        <v>622</v>
      </c>
      <c r="C1209" s="3" t="s">
        <v>105</v>
      </c>
    </row>
    <row r="1210" spans="1:3" ht="15" x14ac:dyDescent="0.25">
      <c r="A1210" s="3" t="s">
        <v>162</v>
      </c>
      <c r="B1210" s="3" t="s">
        <v>622</v>
      </c>
      <c r="C1210" s="3" t="s">
        <v>105</v>
      </c>
    </row>
    <row r="1211" spans="1:3" ht="15" x14ac:dyDescent="0.25">
      <c r="A1211" s="3" t="s">
        <v>272</v>
      </c>
      <c r="B1211" s="3" t="s">
        <v>622</v>
      </c>
      <c r="C1211" s="3" t="s">
        <v>105</v>
      </c>
    </row>
    <row r="1212" spans="1:3" ht="15" x14ac:dyDescent="0.25">
      <c r="A1212" s="3" t="s">
        <v>537</v>
      </c>
      <c r="B1212" s="3" t="s">
        <v>622</v>
      </c>
      <c r="C1212" s="3" t="s">
        <v>105</v>
      </c>
    </row>
    <row r="1213" spans="1:3" ht="15" x14ac:dyDescent="0.25">
      <c r="A1213" s="3" t="s">
        <v>273</v>
      </c>
      <c r="B1213" s="3" t="s">
        <v>622</v>
      </c>
      <c r="C1213" s="3" t="s">
        <v>105</v>
      </c>
    </row>
    <row r="1214" spans="1:3" ht="15" x14ac:dyDescent="0.25">
      <c r="A1214" s="3" t="s">
        <v>208</v>
      </c>
      <c r="B1214" s="3" t="s">
        <v>622</v>
      </c>
      <c r="C1214" s="3" t="s">
        <v>105</v>
      </c>
    </row>
    <row r="1215" spans="1:3" ht="15" x14ac:dyDescent="0.25">
      <c r="A1215" s="3" t="s">
        <v>230</v>
      </c>
      <c r="B1215" s="3" t="s">
        <v>622</v>
      </c>
      <c r="C1215" s="3" t="s">
        <v>105</v>
      </c>
    </row>
    <row r="1216" spans="1:3" ht="15" x14ac:dyDescent="0.25">
      <c r="A1216" s="3" t="s">
        <v>508</v>
      </c>
      <c r="B1216" s="3" t="s">
        <v>622</v>
      </c>
      <c r="C1216" s="3" t="s">
        <v>105</v>
      </c>
    </row>
    <row r="1217" spans="1:3" ht="15" x14ac:dyDescent="0.25">
      <c r="A1217" s="3" t="s">
        <v>119</v>
      </c>
      <c r="B1217" s="3" t="s">
        <v>622</v>
      </c>
      <c r="C1217" s="3" t="s">
        <v>105</v>
      </c>
    </row>
    <row r="1218" spans="1:3" ht="15" x14ac:dyDescent="0.25">
      <c r="A1218" s="3" t="s">
        <v>614</v>
      </c>
      <c r="B1218" s="3" t="s">
        <v>623</v>
      </c>
      <c r="C1218" s="3" t="s">
        <v>105</v>
      </c>
    </row>
    <row r="1219" spans="1:3" ht="15" x14ac:dyDescent="0.25">
      <c r="A1219" s="3" t="s">
        <v>205</v>
      </c>
      <c r="B1219" s="3" t="s">
        <v>623</v>
      </c>
      <c r="C1219" s="3" t="s">
        <v>105</v>
      </c>
    </row>
    <row r="1220" spans="1:3" ht="15" x14ac:dyDescent="0.25">
      <c r="A1220" s="3" t="s">
        <v>8</v>
      </c>
      <c r="B1220" s="3" t="s">
        <v>623</v>
      </c>
      <c r="C1220" s="3" t="s">
        <v>105</v>
      </c>
    </row>
    <row r="1221" spans="1:3" ht="15" x14ac:dyDescent="0.25">
      <c r="A1221" s="3" t="s">
        <v>284</v>
      </c>
      <c r="B1221" s="3" t="s">
        <v>623</v>
      </c>
      <c r="C1221" s="3" t="s">
        <v>105</v>
      </c>
    </row>
    <row r="1222" spans="1:3" ht="15" x14ac:dyDescent="0.25">
      <c r="A1222" s="3" t="s">
        <v>484</v>
      </c>
      <c r="B1222" s="3" t="s">
        <v>623</v>
      </c>
      <c r="C1222" s="3" t="s">
        <v>105</v>
      </c>
    </row>
    <row r="1223" spans="1:3" ht="15" x14ac:dyDescent="0.25">
      <c r="A1223" s="3" t="s">
        <v>533</v>
      </c>
      <c r="B1223" s="3" t="s">
        <v>623</v>
      </c>
      <c r="C1223" s="3" t="s">
        <v>105</v>
      </c>
    </row>
    <row r="1224" spans="1:3" ht="15" x14ac:dyDescent="0.25">
      <c r="A1224" s="3" t="s">
        <v>299</v>
      </c>
      <c r="B1224" s="3" t="s">
        <v>623</v>
      </c>
      <c r="C1224" s="3" t="s">
        <v>105</v>
      </c>
    </row>
    <row r="1225" spans="1:3" ht="15" x14ac:dyDescent="0.25">
      <c r="A1225" s="3" t="s">
        <v>249</v>
      </c>
      <c r="B1225" s="3" t="s">
        <v>623</v>
      </c>
      <c r="C1225" s="3" t="s">
        <v>105</v>
      </c>
    </row>
    <row r="1226" spans="1:3" ht="15" x14ac:dyDescent="0.25">
      <c r="A1226" s="3" t="s">
        <v>191</v>
      </c>
      <c r="B1226" s="3" t="s">
        <v>623</v>
      </c>
      <c r="C1226" s="3" t="s">
        <v>105</v>
      </c>
    </row>
    <row r="1227" spans="1:3" ht="15" x14ac:dyDescent="0.25">
      <c r="A1227" s="3" t="s">
        <v>31</v>
      </c>
      <c r="B1227" s="3" t="s">
        <v>623</v>
      </c>
      <c r="C1227" s="3" t="s">
        <v>105</v>
      </c>
    </row>
    <row r="1228" spans="1:3" ht="15" x14ac:dyDescent="0.25">
      <c r="A1228" s="3" t="s">
        <v>492</v>
      </c>
      <c r="B1228" s="3" t="s">
        <v>623</v>
      </c>
      <c r="C1228" s="3" t="s">
        <v>105</v>
      </c>
    </row>
    <row r="1229" spans="1:3" ht="15" x14ac:dyDescent="0.25">
      <c r="A1229" s="3" t="s">
        <v>564</v>
      </c>
      <c r="B1229" s="3" t="s">
        <v>623</v>
      </c>
      <c r="C1229" s="3" t="s">
        <v>105</v>
      </c>
    </row>
    <row r="1230" spans="1:3" ht="15" x14ac:dyDescent="0.25">
      <c r="A1230" s="3" t="s">
        <v>253</v>
      </c>
      <c r="B1230" s="3" t="s">
        <v>623</v>
      </c>
      <c r="C1230" s="3" t="s">
        <v>105</v>
      </c>
    </row>
    <row r="1231" spans="1:3" ht="15" x14ac:dyDescent="0.25">
      <c r="A1231" s="3" t="s">
        <v>107</v>
      </c>
      <c r="B1231" s="3" t="s">
        <v>623</v>
      </c>
      <c r="C1231" s="3" t="s">
        <v>105</v>
      </c>
    </row>
    <row r="1232" spans="1:3" ht="15" x14ac:dyDescent="0.25">
      <c r="A1232" s="3" t="s">
        <v>304</v>
      </c>
      <c r="B1232" s="3" t="s">
        <v>623</v>
      </c>
      <c r="C1232" s="3" t="s">
        <v>105</v>
      </c>
    </row>
    <row r="1233" spans="1:3" ht="15" x14ac:dyDescent="0.25">
      <c r="A1233" s="3" t="s">
        <v>255</v>
      </c>
      <c r="B1233" s="3" t="s">
        <v>623</v>
      </c>
      <c r="C1233" s="3" t="s">
        <v>105</v>
      </c>
    </row>
    <row r="1234" spans="1:3" ht="15" x14ac:dyDescent="0.25">
      <c r="A1234" s="3" t="s">
        <v>311</v>
      </c>
      <c r="B1234" s="3" t="s">
        <v>623</v>
      </c>
      <c r="C1234" s="3" t="s">
        <v>105</v>
      </c>
    </row>
    <row r="1235" spans="1:3" ht="15" x14ac:dyDescent="0.25">
      <c r="A1235" s="3" t="s">
        <v>545</v>
      </c>
      <c r="B1235" s="3" t="s">
        <v>623</v>
      </c>
      <c r="C1235" s="3" t="s">
        <v>105</v>
      </c>
    </row>
    <row r="1236" spans="1:3" ht="15" x14ac:dyDescent="0.25">
      <c r="A1236" s="3" t="s">
        <v>221</v>
      </c>
      <c r="B1236" s="3" t="s">
        <v>623</v>
      </c>
      <c r="C1236" s="3" t="s">
        <v>105</v>
      </c>
    </row>
    <row r="1237" spans="1:3" ht="15" x14ac:dyDescent="0.25">
      <c r="A1237" s="3" t="s">
        <v>321</v>
      </c>
      <c r="B1237" s="3" t="s">
        <v>623</v>
      </c>
      <c r="C1237" s="3" t="s">
        <v>105</v>
      </c>
    </row>
    <row r="1238" spans="1:3" ht="15" x14ac:dyDescent="0.25">
      <c r="A1238" s="3" t="s">
        <v>266</v>
      </c>
      <c r="B1238" s="3" t="s">
        <v>623</v>
      </c>
      <c r="C1238" s="3" t="s">
        <v>105</v>
      </c>
    </row>
    <row r="1239" spans="1:3" ht="15" x14ac:dyDescent="0.25">
      <c r="A1239" s="3" t="s">
        <v>85</v>
      </c>
      <c r="B1239" s="3" t="s">
        <v>623</v>
      </c>
      <c r="C1239" s="3" t="s">
        <v>105</v>
      </c>
    </row>
    <row r="1240" spans="1:3" ht="15" x14ac:dyDescent="0.25">
      <c r="A1240" s="3" t="s">
        <v>86</v>
      </c>
      <c r="B1240" s="3" t="s">
        <v>623</v>
      </c>
      <c r="C1240" s="3" t="s">
        <v>105</v>
      </c>
    </row>
    <row r="1241" spans="1:3" ht="15" x14ac:dyDescent="0.25">
      <c r="A1241" s="3" t="s">
        <v>90</v>
      </c>
      <c r="B1241" s="3" t="s">
        <v>623</v>
      </c>
      <c r="C1241" s="3" t="s">
        <v>105</v>
      </c>
    </row>
    <row r="1242" spans="1:3" ht="15" x14ac:dyDescent="0.25">
      <c r="A1242" s="3" t="s">
        <v>613</v>
      </c>
      <c r="B1242" s="3" t="s">
        <v>623</v>
      </c>
      <c r="C1242" s="3" t="s">
        <v>105</v>
      </c>
    </row>
    <row r="1243" spans="1:3" ht="15" x14ac:dyDescent="0.25">
      <c r="A1243" s="3" t="s">
        <v>164</v>
      </c>
      <c r="B1243" s="3" t="s">
        <v>624</v>
      </c>
      <c r="C1243" s="3" t="s">
        <v>168</v>
      </c>
    </row>
    <row r="1244" spans="1:3" ht="15" x14ac:dyDescent="0.25">
      <c r="A1244" s="3" t="s">
        <v>189</v>
      </c>
      <c r="B1244" s="3" t="s">
        <v>624</v>
      </c>
      <c r="C1244" s="3" t="s">
        <v>168</v>
      </c>
    </row>
    <row r="1245" spans="1:3" ht="15" x14ac:dyDescent="0.25">
      <c r="A1245" s="3" t="s">
        <v>210</v>
      </c>
      <c r="B1245" s="3" t="s">
        <v>624</v>
      </c>
      <c r="C1245" s="3" t="s">
        <v>168</v>
      </c>
    </row>
    <row r="1246" spans="1:3" ht="15" x14ac:dyDescent="0.25">
      <c r="A1246" s="3" t="s">
        <v>190</v>
      </c>
      <c r="B1246" s="3" t="s">
        <v>624</v>
      </c>
      <c r="C1246" s="3" t="s">
        <v>168</v>
      </c>
    </row>
    <row r="1247" spans="1:3" ht="15" x14ac:dyDescent="0.25">
      <c r="A1247" s="3" t="s">
        <v>310</v>
      </c>
      <c r="B1247" s="3" t="s">
        <v>624</v>
      </c>
      <c r="C1247" s="3" t="s">
        <v>168</v>
      </c>
    </row>
    <row r="1248" spans="1:3" ht="15" x14ac:dyDescent="0.25">
      <c r="A1248" s="3" t="s">
        <v>108</v>
      </c>
      <c r="B1248" s="3" t="s">
        <v>624</v>
      </c>
      <c r="C1248" s="3" t="s">
        <v>168</v>
      </c>
    </row>
    <row r="1249" spans="1:3" ht="15" x14ac:dyDescent="0.25">
      <c r="A1249" s="3" t="s">
        <v>266</v>
      </c>
      <c r="B1249" s="3" t="s">
        <v>624</v>
      </c>
      <c r="C1249" s="3" t="s">
        <v>168</v>
      </c>
    </row>
    <row r="1250" spans="1:3" ht="15" x14ac:dyDescent="0.25">
      <c r="A1250" s="3" t="s">
        <v>204</v>
      </c>
      <c r="B1250" s="3" t="s">
        <v>624</v>
      </c>
      <c r="C1250" s="3" t="s">
        <v>168</v>
      </c>
    </row>
    <row r="1251" spans="1:3" ht="15" x14ac:dyDescent="0.25">
      <c r="A1251" s="3" t="s">
        <v>103</v>
      </c>
      <c r="B1251" s="3" t="s">
        <v>625</v>
      </c>
      <c r="C1251" s="3" t="s">
        <v>105</v>
      </c>
    </row>
    <row r="1252" spans="1:3" ht="15" x14ac:dyDescent="0.25">
      <c r="A1252" s="3" t="s">
        <v>190</v>
      </c>
      <c r="B1252" s="3" t="s">
        <v>625</v>
      </c>
      <c r="C1252" s="3" t="s">
        <v>105</v>
      </c>
    </row>
    <row r="1253" spans="1:3" ht="15" x14ac:dyDescent="0.25">
      <c r="A1253" s="3" t="s">
        <v>486</v>
      </c>
      <c r="B1253" s="3" t="s">
        <v>625</v>
      </c>
      <c r="C1253" s="3" t="s">
        <v>105</v>
      </c>
    </row>
    <row r="1254" spans="1:3" ht="15" x14ac:dyDescent="0.25">
      <c r="A1254" s="3" t="s">
        <v>291</v>
      </c>
      <c r="B1254" s="3" t="s">
        <v>625</v>
      </c>
      <c r="C1254" s="3" t="s">
        <v>105</v>
      </c>
    </row>
    <row r="1255" spans="1:3" ht="15" x14ac:dyDescent="0.25">
      <c r="A1255" s="3" t="s">
        <v>18</v>
      </c>
      <c r="B1255" s="3" t="s">
        <v>625</v>
      </c>
      <c r="C1255" s="3" t="s">
        <v>105</v>
      </c>
    </row>
    <row r="1256" spans="1:3" ht="15" x14ac:dyDescent="0.25">
      <c r="A1256" s="3" t="s">
        <v>169</v>
      </c>
      <c r="B1256" s="3" t="s">
        <v>625</v>
      </c>
      <c r="C1256" s="3" t="s">
        <v>105</v>
      </c>
    </row>
    <row r="1257" spans="1:3" ht="15" x14ac:dyDescent="0.25">
      <c r="A1257" s="3" t="s">
        <v>246</v>
      </c>
      <c r="B1257" s="3" t="s">
        <v>625</v>
      </c>
      <c r="C1257" s="3" t="s">
        <v>105</v>
      </c>
    </row>
    <row r="1258" spans="1:3" ht="15" x14ac:dyDescent="0.25">
      <c r="A1258" s="3" t="s">
        <v>247</v>
      </c>
      <c r="B1258" s="3" t="s">
        <v>625</v>
      </c>
      <c r="C1258" s="3" t="s">
        <v>105</v>
      </c>
    </row>
    <row r="1259" spans="1:3" ht="15" x14ac:dyDescent="0.25">
      <c r="A1259" s="3" t="s">
        <v>193</v>
      </c>
      <c r="B1259" s="3" t="s">
        <v>625</v>
      </c>
      <c r="C1259" s="3" t="s">
        <v>105</v>
      </c>
    </row>
    <row r="1260" spans="1:3" ht="15" x14ac:dyDescent="0.25">
      <c r="A1260" s="3" t="s">
        <v>449</v>
      </c>
      <c r="B1260" s="3" t="s">
        <v>625</v>
      </c>
      <c r="C1260" s="3" t="s">
        <v>105</v>
      </c>
    </row>
    <row r="1261" spans="1:3" ht="15" x14ac:dyDescent="0.25">
      <c r="A1261" s="3" t="s">
        <v>33</v>
      </c>
      <c r="B1261" s="3" t="s">
        <v>625</v>
      </c>
      <c r="C1261" s="3" t="s">
        <v>105</v>
      </c>
    </row>
    <row r="1262" spans="1:3" ht="15" x14ac:dyDescent="0.25">
      <c r="A1262" s="3" t="s">
        <v>195</v>
      </c>
      <c r="B1262" s="3" t="s">
        <v>625</v>
      </c>
      <c r="C1262" s="3" t="s">
        <v>105</v>
      </c>
    </row>
    <row r="1263" spans="1:3" ht="15" x14ac:dyDescent="0.25">
      <c r="A1263" s="3" t="s">
        <v>137</v>
      </c>
      <c r="B1263" s="3" t="s">
        <v>625</v>
      </c>
      <c r="C1263" s="3" t="s">
        <v>105</v>
      </c>
    </row>
    <row r="1264" spans="1:3" ht="15" x14ac:dyDescent="0.25">
      <c r="A1264" s="3" t="s">
        <v>317</v>
      </c>
      <c r="B1264" s="3" t="s">
        <v>625</v>
      </c>
      <c r="C1264" s="3" t="s">
        <v>105</v>
      </c>
    </row>
    <row r="1265" spans="1:3" ht="15" x14ac:dyDescent="0.25">
      <c r="A1265" s="3" t="s">
        <v>215</v>
      </c>
      <c r="B1265" s="3" t="s">
        <v>625</v>
      </c>
      <c r="C1265" s="3" t="s">
        <v>105</v>
      </c>
    </row>
    <row r="1266" spans="1:3" ht="15" x14ac:dyDescent="0.25">
      <c r="A1266" s="3" t="s">
        <v>55</v>
      </c>
      <c r="B1266" s="3" t="s">
        <v>625</v>
      </c>
      <c r="C1266" s="3" t="s">
        <v>105</v>
      </c>
    </row>
    <row r="1267" spans="1:3" ht="15" x14ac:dyDescent="0.25">
      <c r="A1267" s="3" t="s">
        <v>367</v>
      </c>
      <c r="B1267" s="3" t="s">
        <v>625</v>
      </c>
      <c r="C1267" s="3" t="s">
        <v>105</v>
      </c>
    </row>
    <row r="1268" spans="1:3" ht="15" x14ac:dyDescent="0.25">
      <c r="A1268" s="3" t="s">
        <v>64</v>
      </c>
      <c r="B1268" s="3" t="s">
        <v>625</v>
      </c>
      <c r="C1268" s="3" t="s">
        <v>105</v>
      </c>
    </row>
    <row r="1269" spans="1:3" ht="15" x14ac:dyDescent="0.25">
      <c r="A1269" s="3" t="s">
        <v>268</v>
      </c>
      <c r="B1269" s="3" t="s">
        <v>625</v>
      </c>
      <c r="C1269" s="3" t="s">
        <v>105</v>
      </c>
    </row>
    <row r="1270" spans="1:3" ht="15" x14ac:dyDescent="0.25">
      <c r="A1270" s="3" t="s">
        <v>271</v>
      </c>
      <c r="B1270" s="3" t="s">
        <v>625</v>
      </c>
      <c r="C1270" s="3" t="s">
        <v>105</v>
      </c>
    </row>
    <row r="1271" spans="1:3" ht="15" x14ac:dyDescent="0.25">
      <c r="A1271" s="3" t="s">
        <v>331</v>
      </c>
      <c r="B1271" s="3" t="s">
        <v>625</v>
      </c>
      <c r="C1271" s="3" t="s">
        <v>105</v>
      </c>
    </row>
    <row r="1272" spans="1:3" ht="15" x14ac:dyDescent="0.25">
      <c r="A1272" s="3" t="s">
        <v>98</v>
      </c>
      <c r="B1272" s="3" t="s">
        <v>625</v>
      </c>
      <c r="C1272" s="3" t="s">
        <v>105</v>
      </c>
    </row>
    <row r="1273" spans="1:3" ht="15" x14ac:dyDescent="0.25">
      <c r="A1273" s="3" t="s">
        <v>99</v>
      </c>
      <c r="B1273" s="3" t="s">
        <v>625</v>
      </c>
      <c r="C1273" s="3" t="s">
        <v>105</v>
      </c>
    </row>
    <row r="1274" spans="1:3" ht="15" x14ac:dyDescent="0.25">
      <c r="A1274" s="3" t="s">
        <v>370</v>
      </c>
      <c r="B1274" s="3" t="s">
        <v>625</v>
      </c>
      <c r="C1274" s="3" t="s">
        <v>105</v>
      </c>
    </row>
    <row r="1275" spans="1:3" ht="15" x14ac:dyDescent="0.25">
      <c r="A1275" s="3" t="s">
        <v>120</v>
      </c>
      <c r="B1275" s="3" t="s">
        <v>625</v>
      </c>
      <c r="C1275" s="3" t="s">
        <v>105</v>
      </c>
    </row>
    <row r="1276" spans="1:3" ht="15" x14ac:dyDescent="0.25">
      <c r="A1276" s="3" t="s">
        <v>8</v>
      </c>
      <c r="B1276" s="3" t="s">
        <v>627</v>
      </c>
      <c r="C1276" s="3" t="s">
        <v>105</v>
      </c>
    </row>
    <row r="1277" spans="1:3" ht="15" x14ac:dyDescent="0.25">
      <c r="A1277" s="3" t="s">
        <v>186</v>
      </c>
      <c r="B1277" s="3" t="s">
        <v>627</v>
      </c>
      <c r="C1277" s="3" t="s">
        <v>105</v>
      </c>
    </row>
    <row r="1278" spans="1:3" ht="15" x14ac:dyDescent="0.25">
      <c r="A1278" s="3" t="s">
        <v>187</v>
      </c>
      <c r="B1278" s="3" t="s">
        <v>627</v>
      </c>
      <c r="C1278" s="3" t="s">
        <v>105</v>
      </c>
    </row>
    <row r="1279" spans="1:3" ht="15" x14ac:dyDescent="0.25">
      <c r="A1279" s="3" t="s">
        <v>209</v>
      </c>
      <c r="B1279" s="3" t="s">
        <v>627</v>
      </c>
      <c r="C1279" s="3" t="s">
        <v>105</v>
      </c>
    </row>
    <row r="1280" spans="1:3" ht="15" x14ac:dyDescent="0.25">
      <c r="A1280" s="3" t="s">
        <v>431</v>
      </c>
      <c r="B1280" s="3" t="s">
        <v>627</v>
      </c>
      <c r="C1280" s="3" t="s">
        <v>105</v>
      </c>
    </row>
    <row r="1281" spans="1:3" ht="15" x14ac:dyDescent="0.25">
      <c r="A1281" s="3" t="s">
        <v>295</v>
      </c>
      <c r="B1281" s="3" t="s">
        <v>627</v>
      </c>
      <c r="C1281" s="3" t="s">
        <v>105</v>
      </c>
    </row>
    <row r="1282" spans="1:3" ht="15" x14ac:dyDescent="0.25">
      <c r="A1282" s="3" t="s">
        <v>170</v>
      </c>
      <c r="B1282" s="3" t="s">
        <v>627</v>
      </c>
      <c r="C1282" s="3" t="s">
        <v>105</v>
      </c>
    </row>
    <row r="1283" spans="1:3" ht="15" x14ac:dyDescent="0.25">
      <c r="A1283" s="3" t="s">
        <v>25</v>
      </c>
      <c r="B1283" s="3" t="s">
        <v>627</v>
      </c>
      <c r="C1283" s="3" t="s">
        <v>105</v>
      </c>
    </row>
    <row r="1284" spans="1:3" ht="15" x14ac:dyDescent="0.25">
      <c r="A1284" s="3" t="s">
        <v>516</v>
      </c>
      <c r="B1284" s="3" t="s">
        <v>627</v>
      </c>
      <c r="C1284" s="3" t="s">
        <v>105</v>
      </c>
    </row>
    <row r="1285" spans="1:3" ht="15" x14ac:dyDescent="0.25">
      <c r="A1285" s="3" t="s">
        <v>146</v>
      </c>
      <c r="B1285" s="3" t="s">
        <v>627</v>
      </c>
      <c r="C1285" s="3" t="s">
        <v>105</v>
      </c>
    </row>
    <row r="1286" spans="1:3" ht="15" x14ac:dyDescent="0.25">
      <c r="A1286" s="3" t="s">
        <v>542</v>
      </c>
      <c r="B1286" s="3" t="s">
        <v>627</v>
      </c>
      <c r="C1286" s="3" t="s">
        <v>105</v>
      </c>
    </row>
    <row r="1287" spans="1:3" ht="15" x14ac:dyDescent="0.25">
      <c r="A1287" s="3" t="s">
        <v>128</v>
      </c>
      <c r="B1287" s="3" t="s">
        <v>627</v>
      </c>
      <c r="C1287" s="3" t="s">
        <v>105</v>
      </c>
    </row>
    <row r="1288" spans="1:3" ht="15" x14ac:dyDescent="0.25">
      <c r="A1288" s="3" t="s">
        <v>38</v>
      </c>
      <c r="B1288" s="3" t="s">
        <v>627</v>
      </c>
      <c r="C1288" s="3" t="s">
        <v>105</v>
      </c>
    </row>
    <row r="1289" spans="1:3" ht="15" x14ac:dyDescent="0.25">
      <c r="A1289" s="3" t="s">
        <v>41</v>
      </c>
      <c r="B1289" s="3" t="s">
        <v>627</v>
      </c>
      <c r="C1289" s="3" t="s">
        <v>105</v>
      </c>
    </row>
    <row r="1290" spans="1:3" ht="15" x14ac:dyDescent="0.25">
      <c r="A1290" s="3" t="s">
        <v>197</v>
      </c>
      <c r="B1290" s="3" t="s">
        <v>627</v>
      </c>
      <c r="C1290" s="3" t="s">
        <v>105</v>
      </c>
    </row>
    <row r="1291" spans="1:3" ht="15" x14ac:dyDescent="0.25">
      <c r="A1291" s="3" t="s">
        <v>137</v>
      </c>
      <c r="B1291" s="3" t="s">
        <v>627</v>
      </c>
      <c r="C1291" s="3" t="s">
        <v>105</v>
      </c>
    </row>
    <row r="1292" spans="1:3" ht="15" x14ac:dyDescent="0.25">
      <c r="A1292" s="3" t="s">
        <v>340</v>
      </c>
      <c r="B1292" s="3" t="s">
        <v>627</v>
      </c>
      <c r="C1292" s="3" t="s">
        <v>105</v>
      </c>
    </row>
    <row r="1293" spans="1:3" ht="15" x14ac:dyDescent="0.25">
      <c r="A1293" s="3" t="s">
        <v>313</v>
      </c>
      <c r="B1293" s="3" t="s">
        <v>627</v>
      </c>
      <c r="C1293" s="3" t="s">
        <v>105</v>
      </c>
    </row>
    <row r="1294" spans="1:3" ht="15" x14ac:dyDescent="0.25">
      <c r="A1294" s="3" t="s">
        <v>364</v>
      </c>
      <c r="B1294" s="3" t="s">
        <v>627</v>
      </c>
      <c r="C1294" s="3" t="s">
        <v>105</v>
      </c>
    </row>
    <row r="1295" spans="1:3" ht="15" x14ac:dyDescent="0.25">
      <c r="A1295" s="3" t="s">
        <v>366</v>
      </c>
      <c r="B1295" s="3" t="s">
        <v>627</v>
      </c>
      <c r="C1295" s="3" t="s">
        <v>105</v>
      </c>
    </row>
    <row r="1296" spans="1:3" ht="15" x14ac:dyDescent="0.25">
      <c r="A1296" s="3" t="s">
        <v>261</v>
      </c>
      <c r="B1296" s="3" t="s">
        <v>627</v>
      </c>
      <c r="C1296" s="3" t="s">
        <v>105</v>
      </c>
    </row>
    <row r="1297" spans="1:3" ht="15" x14ac:dyDescent="0.25">
      <c r="A1297" s="3" t="s">
        <v>343</v>
      </c>
      <c r="B1297" s="3" t="s">
        <v>627</v>
      </c>
      <c r="C1297" s="3" t="s">
        <v>105</v>
      </c>
    </row>
    <row r="1298" spans="1:3" ht="15" x14ac:dyDescent="0.25">
      <c r="A1298" s="3" t="s">
        <v>326</v>
      </c>
      <c r="B1298" s="3" t="s">
        <v>627</v>
      </c>
      <c r="C1298" s="3" t="s">
        <v>105</v>
      </c>
    </row>
    <row r="1299" spans="1:3" ht="15" x14ac:dyDescent="0.25">
      <c r="A1299" s="3" t="s">
        <v>227</v>
      </c>
      <c r="B1299" s="3" t="s">
        <v>627</v>
      </c>
      <c r="C1299" s="3" t="s">
        <v>105</v>
      </c>
    </row>
    <row r="1300" spans="1:3" ht="15" x14ac:dyDescent="0.25">
      <c r="A1300" s="3" t="s">
        <v>228</v>
      </c>
      <c r="B1300" s="3" t="s">
        <v>627</v>
      </c>
      <c r="C1300" s="3" t="s">
        <v>105</v>
      </c>
    </row>
    <row r="1301" spans="1:3" ht="15" x14ac:dyDescent="0.25">
      <c r="A1301" s="3" t="s">
        <v>183</v>
      </c>
      <c r="B1301" s="3" t="s">
        <v>628</v>
      </c>
      <c r="C1301" s="3" t="s">
        <v>168</v>
      </c>
    </row>
    <row r="1302" spans="1:3" ht="15" x14ac:dyDescent="0.25">
      <c r="A1302" s="3" t="s">
        <v>106</v>
      </c>
      <c r="B1302" s="3" t="s">
        <v>628</v>
      </c>
      <c r="C1302" s="3" t="s">
        <v>168</v>
      </c>
    </row>
    <row r="1303" spans="1:3" ht="15" x14ac:dyDescent="0.25">
      <c r="A1303" s="3" t="s">
        <v>301</v>
      </c>
      <c r="B1303" s="3" t="s">
        <v>628</v>
      </c>
      <c r="C1303" s="3" t="s">
        <v>168</v>
      </c>
    </row>
    <row r="1304" spans="1:3" ht="15" x14ac:dyDescent="0.25">
      <c r="A1304" s="3" t="s">
        <v>128</v>
      </c>
      <c r="B1304" s="3" t="s">
        <v>628</v>
      </c>
      <c r="C1304" s="3" t="s">
        <v>168</v>
      </c>
    </row>
    <row r="1305" spans="1:3" ht="15" x14ac:dyDescent="0.25">
      <c r="A1305" s="3" t="s">
        <v>381</v>
      </c>
      <c r="B1305" s="3" t="s">
        <v>628</v>
      </c>
      <c r="C1305" s="3" t="s">
        <v>168</v>
      </c>
    </row>
    <row r="1306" spans="1:3" ht="15" x14ac:dyDescent="0.25">
      <c r="A1306" s="3" t="s">
        <v>150</v>
      </c>
      <c r="B1306" s="3" t="s">
        <v>628</v>
      </c>
      <c r="C1306" s="3" t="s">
        <v>168</v>
      </c>
    </row>
    <row r="1307" spans="1:3" ht="15" x14ac:dyDescent="0.25">
      <c r="A1307" s="3" t="s">
        <v>145</v>
      </c>
      <c r="B1307" s="3" t="s">
        <v>628</v>
      </c>
      <c r="C1307" s="3" t="s">
        <v>168</v>
      </c>
    </row>
    <row r="1308" spans="1:3" ht="15" x14ac:dyDescent="0.25">
      <c r="A1308" s="3" t="s">
        <v>285</v>
      </c>
      <c r="B1308" s="3" t="s">
        <v>548</v>
      </c>
      <c r="C1308" s="3" t="s">
        <v>168</v>
      </c>
    </row>
    <row r="1309" spans="1:3" ht="15" x14ac:dyDescent="0.25">
      <c r="A1309" s="3" t="s">
        <v>410</v>
      </c>
      <c r="B1309" s="3" t="s">
        <v>548</v>
      </c>
      <c r="C1309" s="3" t="s">
        <v>168</v>
      </c>
    </row>
    <row r="1310" spans="1:3" ht="15" x14ac:dyDescent="0.25">
      <c r="A1310" s="3" t="s">
        <v>214</v>
      </c>
      <c r="B1310" s="3" t="s">
        <v>548</v>
      </c>
      <c r="C1310" s="3" t="s">
        <v>168</v>
      </c>
    </row>
    <row r="1311" spans="1:3" ht="15" x14ac:dyDescent="0.25">
      <c r="A1311" s="3" t="s">
        <v>172</v>
      </c>
      <c r="B1311" s="3" t="s">
        <v>548</v>
      </c>
      <c r="C1311" s="3" t="s">
        <v>168</v>
      </c>
    </row>
    <row r="1312" spans="1:3" ht="15" x14ac:dyDescent="0.25">
      <c r="A1312" s="3" t="s">
        <v>451</v>
      </c>
      <c r="B1312" s="3" t="s">
        <v>548</v>
      </c>
      <c r="C1312" s="3" t="s">
        <v>168</v>
      </c>
    </row>
    <row r="1313" spans="1:3" ht="15" x14ac:dyDescent="0.25">
      <c r="A1313" s="3" t="s">
        <v>611</v>
      </c>
      <c r="B1313" s="3" t="s">
        <v>548</v>
      </c>
      <c r="C1313" s="3" t="s">
        <v>168</v>
      </c>
    </row>
    <row r="1314" spans="1:3" ht="15" x14ac:dyDescent="0.25">
      <c r="A1314" s="3" t="s">
        <v>85</v>
      </c>
      <c r="B1314" s="3" t="s">
        <v>548</v>
      </c>
      <c r="C1314" s="3" t="s">
        <v>168</v>
      </c>
    </row>
    <row r="1315" spans="1:3" ht="15" x14ac:dyDescent="0.25">
      <c r="A1315" s="3" t="s">
        <v>370</v>
      </c>
      <c r="B1315" s="3" t="s">
        <v>548</v>
      </c>
      <c r="C1315" s="3" t="s">
        <v>168</v>
      </c>
    </row>
    <row r="1316" spans="1:3" ht="15" x14ac:dyDescent="0.25">
      <c r="A1316" s="3" t="s">
        <v>408</v>
      </c>
      <c r="B1316" s="3" t="s">
        <v>629</v>
      </c>
      <c r="C1316" s="3" t="s">
        <v>105</v>
      </c>
    </row>
    <row r="1317" spans="1:3" ht="15" x14ac:dyDescent="0.25">
      <c r="A1317" s="3" t="s">
        <v>237</v>
      </c>
      <c r="B1317" s="3" t="s">
        <v>629</v>
      </c>
      <c r="C1317" s="3" t="s">
        <v>105</v>
      </c>
    </row>
    <row r="1318" spans="1:3" ht="15" x14ac:dyDescent="0.25">
      <c r="A1318" s="3" t="s">
        <v>431</v>
      </c>
      <c r="B1318" s="3" t="s">
        <v>629</v>
      </c>
      <c r="C1318" s="3" t="s">
        <v>105</v>
      </c>
    </row>
    <row r="1319" spans="1:3" ht="15" x14ac:dyDescent="0.25">
      <c r="A1319" s="3" t="s">
        <v>139</v>
      </c>
      <c r="B1319" s="3" t="s">
        <v>629</v>
      </c>
      <c r="C1319" s="3" t="s">
        <v>105</v>
      </c>
    </row>
    <row r="1320" spans="1:3" ht="15" x14ac:dyDescent="0.25">
      <c r="A1320" s="3" t="s">
        <v>193</v>
      </c>
      <c r="B1320" s="3" t="s">
        <v>629</v>
      </c>
      <c r="C1320" s="3" t="s">
        <v>105</v>
      </c>
    </row>
    <row r="1321" spans="1:3" ht="15" x14ac:dyDescent="0.25">
      <c r="A1321" s="3" t="s">
        <v>301</v>
      </c>
      <c r="B1321" s="3" t="s">
        <v>629</v>
      </c>
      <c r="C1321" s="3" t="s">
        <v>105</v>
      </c>
    </row>
    <row r="1322" spans="1:3" ht="15" x14ac:dyDescent="0.25">
      <c r="A1322" s="3" t="s">
        <v>250</v>
      </c>
      <c r="B1322" s="3" t="s">
        <v>629</v>
      </c>
      <c r="C1322" s="3" t="s">
        <v>105</v>
      </c>
    </row>
    <row r="1323" spans="1:3" ht="15" x14ac:dyDescent="0.25">
      <c r="A1323" s="3" t="s">
        <v>219</v>
      </c>
      <c r="B1323" s="3" t="s">
        <v>629</v>
      </c>
      <c r="C1323" s="3" t="s">
        <v>105</v>
      </c>
    </row>
    <row r="1324" spans="1:3" ht="15" x14ac:dyDescent="0.25">
      <c r="A1324" s="3" t="s">
        <v>197</v>
      </c>
      <c r="B1324" s="3" t="s">
        <v>629</v>
      </c>
      <c r="C1324" s="3" t="s">
        <v>105</v>
      </c>
    </row>
    <row r="1325" spans="1:3" ht="15" x14ac:dyDescent="0.25">
      <c r="A1325" s="3" t="s">
        <v>340</v>
      </c>
      <c r="B1325" s="3" t="s">
        <v>629</v>
      </c>
      <c r="C1325" s="3" t="s">
        <v>105</v>
      </c>
    </row>
    <row r="1326" spans="1:3" ht="15" x14ac:dyDescent="0.25">
      <c r="A1326" s="3" t="s">
        <v>364</v>
      </c>
      <c r="B1326" s="3" t="s">
        <v>629</v>
      </c>
      <c r="C1326" s="3" t="s">
        <v>105</v>
      </c>
    </row>
    <row r="1327" spans="1:3" ht="15" x14ac:dyDescent="0.25">
      <c r="A1327" s="3" t="s">
        <v>419</v>
      </c>
      <c r="B1327" s="3" t="s">
        <v>629</v>
      </c>
      <c r="C1327" s="3" t="s">
        <v>105</v>
      </c>
    </row>
    <row r="1328" spans="1:3" ht="15" x14ac:dyDescent="0.25">
      <c r="A1328" s="3" t="s">
        <v>223</v>
      </c>
      <c r="B1328" s="3" t="s">
        <v>629</v>
      </c>
      <c r="C1328" s="3" t="s">
        <v>105</v>
      </c>
    </row>
    <row r="1329" spans="1:3" ht="15" x14ac:dyDescent="0.25">
      <c r="A1329" s="3" t="s">
        <v>337</v>
      </c>
      <c r="B1329" s="3" t="s">
        <v>629</v>
      </c>
      <c r="C1329" s="3" t="s">
        <v>105</v>
      </c>
    </row>
    <row r="1330" spans="1:3" ht="15" x14ac:dyDescent="0.25">
      <c r="A1330" s="3" t="s">
        <v>55</v>
      </c>
      <c r="B1330" s="3" t="s">
        <v>629</v>
      </c>
      <c r="C1330" s="3" t="s">
        <v>105</v>
      </c>
    </row>
    <row r="1331" spans="1:3" ht="15" x14ac:dyDescent="0.25">
      <c r="A1331" s="3" t="s">
        <v>367</v>
      </c>
      <c r="B1331" s="3" t="s">
        <v>629</v>
      </c>
      <c r="C1331" s="3" t="s">
        <v>105</v>
      </c>
    </row>
    <row r="1332" spans="1:3" ht="15" x14ac:dyDescent="0.25">
      <c r="A1332" s="3" t="s">
        <v>323</v>
      </c>
      <c r="B1332" s="3" t="s">
        <v>629</v>
      </c>
      <c r="C1332" s="3" t="s">
        <v>105</v>
      </c>
    </row>
    <row r="1333" spans="1:3" ht="15" x14ac:dyDescent="0.25">
      <c r="A1333" s="3" t="s">
        <v>225</v>
      </c>
      <c r="B1333" s="3" t="s">
        <v>629</v>
      </c>
      <c r="C1333" s="3" t="s">
        <v>105</v>
      </c>
    </row>
    <row r="1334" spans="1:3" ht="15" x14ac:dyDescent="0.25">
      <c r="A1334" s="3" t="s">
        <v>326</v>
      </c>
      <c r="B1334" s="3" t="s">
        <v>629</v>
      </c>
      <c r="C1334" s="3" t="s">
        <v>105</v>
      </c>
    </row>
    <row r="1335" spans="1:3" ht="15" x14ac:dyDescent="0.25">
      <c r="A1335" s="3" t="s">
        <v>162</v>
      </c>
      <c r="B1335" s="3" t="s">
        <v>629</v>
      </c>
      <c r="C1335" s="3" t="s">
        <v>105</v>
      </c>
    </row>
    <row r="1336" spans="1:3" ht="15" x14ac:dyDescent="0.25">
      <c r="A1336" s="3" t="s">
        <v>277</v>
      </c>
      <c r="B1336" s="3" t="s">
        <v>629</v>
      </c>
      <c r="C1336" s="3" t="s">
        <v>105</v>
      </c>
    </row>
    <row r="1337" spans="1:3" ht="15" x14ac:dyDescent="0.25">
      <c r="A1337" s="3" t="s">
        <v>98</v>
      </c>
      <c r="B1337" s="3" t="s">
        <v>629</v>
      </c>
      <c r="C1337" s="3" t="s">
        <v>105</v>
      </c>
    </row>
    <row r="1338" spans="1:3" ht="15" x14ac:dyDescent="0.25">
      <c r="A1338" s="3" t="s">
        <v>230</v>
      </c>
      <c r="B1338" s="3" t="s">
        <v>629</v>
      </c>
      <c r="C1338" s="3" t="s">
        <v>105</v>
      </c>
    </row>
    <row r="1339" spans="1:3" ht="15" x14ac:dyDescent="0.25">
      <c r="A1339" s="3" t="s">
        <v>530</v>
      </c>
      <c r="B1339" s="3" t="s">
        <v>629</v>
      </c>
      <c r="C1339" s="3" t="s">
        <v>105</v>
      </c>
    </row>
    <row r="1340" spans="1:3" ht="15" x14ac:dyDescent="0.25">
      <c r="A1340" s="3" t="s">
        <v>183</v>
      </c>
      <c r="B1340" s="3" t="s">
        <v>630</v>
      </c>
      <c r="C1340" s="3" t="s">
        <v>105</v>
      </c>
    </row>
    <row r="1341" spans="1:3" ht="15" x14ac:dyDescent="0.25">
      <c r="A1341" s="3" t="s">
        <v>190</v>
      </c>
      <c r="B1341" s="3" t="s">
        <v>630</v>
      </c>
      <c r="C1341" s="3" t="s">
        <v>105</v>
      </c>
    </row>
    <row r="1342" spans="1:3" ht="15" x14ac:dyDescent="0.25">
      <c r="A1342" s="3" t="s">
        <v>13</v>
      </c>
      <c r="B1342" s="3" t="s">
        <v>630</v>
      </c>
      <c r="C1342" s="3" t="s">
        <v>105</v>
      </c>
    </row>
    <row r="1343" spans="1:3" ht="15" x14ac:dyDescent="0.25">
      <c r="A1343" s="3" t="s">
        <v>532</v>
      </c>
      <c r="B1343" s="3" t="s">
        <v>630</v>
      </c>
      <c r="C1343" s="3" t="s">
        <v>105</v>
      </c>
    </row>
    <row r="1344" spans="1:3" ht="15" x14ac:dyDescent="0.25">
      <c r="A1344" s="3" t="s">
        <v>395</v>
      </c>
      <c r="B1344" s="3" t="s">
        <v>630</v>
      </c>
      <c r="C1344" s="3" t="s">
        <v>105</v>
      </c>
    </row>
    <row r="1345" spans="1:3" ht="15" x14ac:dyDescent="0.25">
      <c r="A1345" s="3" t="s">
        <v>18</v>
      </c>
      <c r="B1345" s="3" t="s">
        <v>630</v>
      </c>
      <c r="C1345" s="3" t="s">
        <v>105</v>
      </c>
    </row>
    <row r="1346" spans="1:3" ht="15" x14ac:dyDescent="0.25">
      <c r="A1346" s="3" t="s">
        <v>138</v>
      </c>
      <c r="B1346" s="3" t="s">
        <v>630</v>
      </c>
      <c r="C1346" s="3" t="s">
        <v>105</v>
      </c>
    </row>
    <row r="1347" spans="1:3" ht="15" x14ac:dyDescent="0.25">
      <c r="A1347" s="3" t="s">
        <v>241</v>
      </c>
      <c r="B1347" s="3" t="s">
        <v>630</v>
      </c>
      <c r="C1347" s="3" t="s">
        <v>105</v>
      </c>
    </row>
    <row r="1348" spans="1:3" ht="15" x14ac:dyDescent="0.25">
      <c r="A1348" s="3" t="s">
        <v>513</v>
      </c>
      <c r="B1348" s="3" t="s">
        <v>630</v>
      </c>
      <c r="C1348" s="3" t="s">
        <v>105</v>
      </c>
    </row>
    <row r="1349" spans="1:3" ht="15" x14ac:dyDescent="0.25">
      <c r="A1349" s="3" t="s">
        <v>218</v>
      </c>
      <c r="B1349" s="3" t="s">
        <v>630</v>
      </c>
      <c r="C1349" s="3" t="s">
        <v>105</v>
      </c>
    </row>
    <row r="1350" spans="1:3" ht="15" x14ac:dyDescent="0.25">
      <c r="A1350" s="3" t="s">
        <v>191</v>
      </c>
      <c r="B1350" s="3" t="s">
        <v>630</v>
      </c>
      <c r="C1350" s="3" t="s">
        <v>105</v>
      </c>
    </row>
    <row r="1351" spans="1:3" ht="15" x14ac:dyDescent="0.25">
      <c r="A1351" s="3" t="s">
        <v>36</v>
      </c>
      <c r="B1351" s="3" t="s">
        <v>630</v>
      </c>
      <c r="C1351" s="3" t="s">
        <v>105</v>
      </c>
    </row>
    <row r="1352" spans="1:3" ht="15" x14ac:dyDescent="0.25">
      <c r="A1352" s="3" t="s">
        <v>41</v>
      </c>
      <c r="B1352" s="3" t="s">
        <v>630</v>
      </c>
      <c r="C1352" s="3" t="s">
        <v>105</v>
      </c>
    </row>
    <row r="1353" spans="1:3" ht="15" x14ac:dyDescent="0.25">
      <c r="A1353" s="3" t="s">
        <v>521</v>
      </c>
      <c r="B1353" s="3" t="s">
        <v>630</v>
      </c>
      <c r="C1353" s="3" t="s">
        <v>105</v>
      </c>
    </row>
    <row r="1354" spans="1:3" ht="15" x14ac:dyDescent="0.25">
      <c r="A1354" s="3" t="s">
        <v>221</v>
      </c>
      <c r="B1354" s="3" t="s">
        <v>630</v>
      </c>
      <c r="C1354" s="3" t="s">
        <v>105</v>
      </c>
    </row>
    <row r="1355" spans="1:3" ht="15" x14ac:dyDescent="0.25">
      <c r="A1355" s="3" t="s">
        <v>259</v>
      </c>
      <c r="B1355" s="3" t="s">
        <v>630</v>
      </c>
      <c r="C1355" s="3" t="s">
        <v>105</v>
      </c>
    </row>
    <row r="1356" spans="1:3" ht="15" x14ac:dyDescent="0.25">
      <c r="A1356" s="3" t="s">
        <v>300</v>
      </c>
      <c r="B1356" s="3" t="s">
        <v>630</v>
      </c>
      <c r="C1356" s="3" t="s">
        <v>105</v>
      </c>
    </row>
    <row r="1357" spans="1:3" ht="15" x14ac:dyDescent="0.25">
      <c r="A1357" s="3" t="s">
        <v>616</v>
      </c>
      <c r="B1357" s="3" t="s">
        <v>630</v>
      </c>
      <c r="C1357" s="3" t="s">
        <v>105</v>
      </c>
    </row>
    <row r="1358" spans="1:3" ht="15" x14ac:dyDescent="0.25">
      <c r="A1358" s="3" t="s">
        <v>70</v>
      </c>
      <c r="B1358" s="3" t="s">
        <v>630</v>
      </c>
      <c r="C1358" s="3" t="s">
        <v>105</v>
      </c>
    </row>
    <row r="1359" spans="1:3" ht="15" x14ac:dyDescent="0.25">
      <c r="A1359" s="3" t="s">
        <v>158</v>
      </c>
      <c r="B1359" s="3" t="s">
        <v>630</v>
      </c>
      <c r="C1359" s="3" t="s">
        <v>105</v>
      </c>
    </row>
    <row r="1360" spans="1:3" ht="15" x14ac:dyDescent="0.25">
      <c r="A1360" s="3" t="s">
        <v>266</v>
      </c>
      <c r="B1360" s="3" t="s">
        <v>630</v>
      </c>
      <c r="C1360" s="3" t="s">
        <v>105</v>
      </c>
    </row>
    <row r="1361" spans="1:3" ht="15" x14ac:dyDescent="0.25">
      <c r="A1361" s="3" t="s">
        <v>344</v>
      </c>
      <c r="B1361" s="3" t="s">
        <v>630</v>
      </c>
      <c r="C1361" s="3" t="s">
        <v>105</v>
      </c>
    </row>
    <row r="1362" spans="1:3" ht="15" x14ac:dyDescent="0.25">
      <c r="A1362" s="3" t="s">
        <v>537</v>
      </c>
      <c r="B1362" s="3" t="s">
        <v>630</v>
      </c>
      <c r="C1362" s="3" t="s">
        <v>105</v>
      </c>
    </row>
    <row r="1363" spans="1:3" ht="15" x14ac:dyDescent="0.25">
      <c r="A1363" s="3" t="s">
        <v>539</v>
      </c>
      <c r="B1363" s="3" t="s">
        <v>630</v>
      </c>
      <c r="C1363" s="3" t="s">
        <v>105</v>
      </c>
    </row>
    <row r="1364" spans="1:3" ht="15" x14ac:dyDescent="0.25">
      <c r="A1364" s="3" t="s">
        <v>182</v>
      </c>
      <c r="B1364" s="3" t="s">
        <v>630</v>
      </c>
      <c r="C1364" s="3" t="s">
        <v>105</v>
      </c>
    </row>
    <row r="1365" spans="1:3" ht="15" x14ac:dyDescent="0.25">
      <c r="A1365" s="3" t="s">
        <v>205</v>
      </c>
      <c r="B1365" s="3" t="s">
        <v>631</v>
      </c>
      <c r="C1365" s="3" t="s">
        <v>105</v>
      </c>
    </row>
    <row r="1366" spans="1:3" ht="15" x14ac:dyDescent="0.25">
      <c r="A1366" s="3" t="s">
        <v>124</v>
      </c>
      <c r="B1366" s="3" t="s">
        <v>631</v>
      </c>
      <c r="C1366" s="3" t="s">
        <v>105</v>
      </c>
    </row>
    <row r="1367" spans="1:3" ht="15" x14ac:dyDescent="0.25">
      <c r="A1367" s="3" t="s">
        <v>281</v>
      </c>
      <c r="B1367" s="3" t="s">
        <v>631</v>
      </c>
      <c r="C1367" s="3" t="s">
        <v>105</v>
      </c>
    </row>
    <row r="1368" spans="1:3" ht="15" x14ac:dyDescent="0.25">
      <c r="A1368" s="3" t="s">
        <v>10</v>
      </c>
      <c r="B1368" s="3" t="s">
        <v>631</v>
      </c>
      <c r="C1368" s="3" t="s">
        <v>105</v>
      </c>
    </row>
    <row r="1369" spans="1:3" ht="15" x14ac:dyDescent="0.25">
      <c r="A1369" s="3" t="s">
        <v>286</v>
      </c>
      <c r="B1369" s="3" t="s">
        <v>631</v>
      </c>
      <c r="C1369" s="3" t="s">
        <v>105</v>
      </c>
    </row>
    <row r="1370" spans="1:3" ht="15" x14ac:dyDescent="0.25">
      <c r="A1370" s="3" t="s">
        <v>13</v>
      </c>
      <c r="B1370" s="3" t="s">
        <v>631</v>
      </c>
      <c r="C1370" s="3" t="s">
        <v>105</v>
      </c>
    </row>
    <row r="1371" spans="1:3" ht="15" x14ac:dyDescent="0.25">
      <c r="A1371" s="3" t="s">
        <v>532</v>
      </c>
      <c r="B1371" s="3" t="s">
        <v>631</v>
      </c>
      <c r="C1371" s="3" t="s">
        <v>105</v>
      </c>
    </row>
    <row r="1372" spans="1:3" ht="15" x14ac:dyDescent="0.25">
      <c r="A1372" s="3" t="s">
        <v>18</v>
      </c>
      <c r="B1372" s="3" t="s">
        <v>631</v>
      </c>
      <c r="C1372" s="3" t="s">
        <v>105</v>
      </c>
    </row>
    <row r="1373" spans="1:3" ht="15" x14ac:dyDescent="0.25">
      <c r="A1373" s="3" t="s">
        <v>513</v>
      </c>
      <c r="B1373" s="3" t="s">
        <v>631</v>
      </c>
      <c r="C1373" s="3" t="s">
        <v>105</v>
      </c>
    </row>
    <row r="1374" spans="1:3" ht="15" x14ac:dyDescent="0.25">
      <c r="A1374" s="3" t="s">
        <v>302</v>
      </c>
      <c r="B1374" s="3" t="s">
        <v>631</v>
      </c>
      <c r="C1374" s="3" t="s">
        <v>105</v>
      </c>
    </row>
    <row r="1375" spans="1:3" ht="15" x14ac:dyDescent="0.25">
      <c r="A1375" s="3" t="s">
        <v>253</v>
      </c>
      <c r="B1375" s="3" t="s">
        <v>631</v>
      </c>
      <c r="C1375" s="3" t="s">
        <v>105</v>
      </c>
    </row>
    <row r="1376" spans="1:3" ht="15" x14ac:dyDescent="0.25">
      <c r="A1376" s="3" t="s">
        <v>107</v>
      </c>
      <c r="B1376" s="3" t="s">
        <v>631</v>
      </c>
      <c r="C1376" s="3" t="s">
        <v>105</v>
      </c>
    </row>
    <row r="1377" spans="1:3" ht="15" x14ac:dyDescent="0.25">
      <c r="A1377" s="3" t="s">
        <v>229</v>
      </c>
      <c r="B1377" s="3" t="s">
        <v>631</v>
      </c>
      <c r="C1377" s="3" t="s">
        <v>105</v>
      </c>
    </row>
    <row r="1378" spans="1:3" ht="15" x14ac:dyDescent="0.25">
      <c r="A1378" s="3" t="s">
        <v>43</v>
      </c>
      <c r="B1378" s="3" t="s">
        <v>631</v>
      </c>
      <c r="C1378" s="3" t="s">
        <v>105</v>
      </c>
    </row>
    <row r="1379" spans="1:3" ht="15" x14ac:dyDescent="0.25">
      <c r="A1379" s="3" t="s">
        <v>314</v>
      </c>
      <c r="B1379" s="3" t="s">
        <v>631</v>
      </c>
      <c r="C1379" s="3" t="s">
        <v>105</v>
      </c>
    </row>
    <row r="1380" spans="1:3" ht="15" x14ac:dyDescent="0.25">
      <c r="A1380" s="3" t="s">
        <v>221</v>
      </c>
      <c r="B1380" s="3" t="s">
        <v>631</v>
      </c>
      <c r="C1380" s="3" t="s">
        <v>105</v>
      </c>
    </row>
    <row r="1381" spans="1:3" ht="15" x14ac:dyDescent="0.25">
      <c r="A1381" s="3" t="s">
        <v>222</v>
      </c>
      <c r="B1381" s="3" t="s">
        <v>631</v>
      </c>
      <c r="C1381" s="3" t="s">
        <v>105</v>
      </c>
    </row>
    <row r="1382" spans="1:3" ht="15" x14ac:dyDescent="0.25">
      <c r="A1382" s="3" t="s">
        <v>419</v>
      </c>
      <c r="B1382" s="3" t="s">
        <v>631</v>
      </c>
      <c r="C1382" s="3" t="s">
        <v>105</v>
      </c>
    </row>
    <row r="1383" spans="1:3" ht="15" x14ac:dyDescent="0.25">
      <c r="A1383" s="3" t="s">
        <v>632</v>
      </c>
      <c r="B1383" s="3" t="s">
        <v>631</v>
      </c>
      <c r="C1383" s="3" t="s">
        <v>105</v>
      </c>
    </row>
    <row r="1384" spans="1:3" ht="15" x14ac:dyDescent="0.25">
      <c r="A1384" s="3" t="s">
        <v>344</v>
      </c>
      <c r="B1384" s="3" t="s">
        <v>631</v>
      </c>
      <c r="C1384" s="3" t="s">
        <v>105</v>
      </c>
    </row>
    <row r="1385" spans="1:3" ht="15" x14ac:dyDescent="0.25">
      <c r="A1385" s="3" t="s">
        <v>87</v>
      </c>
      <c r="B1385" s="3" t="s">
        <v>631</v>
      </c>
      <c r="C1385" s="3" t="s">
        <v>105</v>
      </c>
    </row>
    <row r="1386" spans="1:3" ht="15" x14ac:dyDescent="0.25">
      <c r="A1386" s="3" t="s">
        <v>118</v>
      </c>
      <c r="B1386" s="3" t="s">
        <v>631</v>
      </c>
      <c r="C1386" s="3" t="s">
        <v>105</v>
      </c>
    </row>
    <row r="1387" spans="1:3" ht="15" x14ac:dyDescent="0.25">
      <c r="A1387" s="3" t="s">
        <v>162</v>
      </c>
      <c r="B1387" s="3" t="s">
        <v>631</v>
      </c>
      <c r="C1387" s="3" t="s">
        <v>105</v>
      </c>
    </row>
    <row r="1388" spans="1:3" ht="15" x14ac:dyDescent="0.25">
      <c r="A1388" s="3" t="s">
        <v>230</v>
      </c>
      <c r="B1388" s="3" t="s">
        <v>631</v>
      </c>
      <c r="C1388" s="3" t="s">
        <v>105</v>
      </c>
    </row>
    <row r="1389" spans="1:3" ht="15" x14ac:dyDescent="0.25">
      <c r="A1389" s="3" t="s">
        <v>119</v>
      </c>
      <c r="B1389" s="3" t="s">
        <v>631</v>
      </c>
      <c r="C1389" s="3" t="s">
        <v>105</v>
      </c>
    </row>
    <row r="1390" spans="1:3" ht="15" x14ac:dyDescent="0.25">
      <c r="A1390" s="3" t="s">
        <v>124</v>
      </c>
      <c r="B1390" s="3" t="s">
        <v>626</v>
      </c>
      <c r="C1390" s="3" t="s">
        <v>105</v>
      </c>
    </row>
    <row r="1391" spans="1:3" ht="15" x14ac:dyDescent="0.25">
      <c r="A1391" s="3" t="s">
        <v>164</v>
      </c>
      <c r="B1391" s="3" t="s">
        <v>626</v>
      </c>
      <c r="C1391" s="3" t="s">
        <v>105</v>
      </c>
    </row>
    <row r="1392" spans="1:3" ht="15" x14ac:dyDescent="0.25">
      <c r="A1392" s="3" t="s">
        <v>536</v>
      </c>
      <c r="B1392" s="3" t="s">
        <v>626</v>
      </c>
      <c r="C1392" s="3" t="s">
        <v>105</v>
      </c>
    </row>
    <row r="1393" spans="1:3" ht="15" x14ac:dyDescent="0.25">
      <c r="A1393" s="3" t="s">
        <v>395</v>
      </c>
      <c r="B1393" s="3" t="s">
        <v>626</v>
      </c>
      <c r="C1393" s="3" t="s">
        <v>105</v>
      </c>
    </row>
    <row r="1394" spans="1:3" ht="15" x14ac:dyDescent="0.25">
      <c r="A1394" s="3" t="s">
        <v>378</v>
      </c>
      <c r="B1394" s="3" t="s">
        <v>626</v>
      </c>
      <c r="C1394" s="3" t="s">
        <v>105</v>
      </c>
    </row>
    <row r="1395" spans="1:3" ht="15" x14ac:dyDescent="0.25">
      <c r="A1395" s="3" t="s">
        <v>169</v>
      </c>
      <c r="B1395" s="3" t="s">
        <v>626</v>
      </c>
      <c r="C1395" s="3" t="s">
        <v>105</v>
      </c>
    </row>
    <row r="1396" spans="1:3" ht="15" x14ac:dyDescent="0.25">
      <c r="A1396" s="3" t="s">
        <v>218</v>
      </c>
      <c r="B1396" s="3" t="s">
        <v>626</v>
      </c>
      <c r="C1396" s="3" t="s">
        <v>105</v>
      </c>
    </row>
    <row r="1397" spans="1:3" ht="15" x14ac:dyDescent="0.25">
      <c r="A1397" s="3" t="s">
        <v>27</v>
      </c>
      <c r="B1397" s="3" t="s">
        <v>626</v>
      </c>
      <c r="C1397" s="3" t="s">
        <v>105</v>
      </c>
    </row>
    <row r="1398" spans="1:3" ht="15" x14ac:dyDescent="0.25">
      <c r="A1398" s="3" t="s">
        <v>246</v>
      </c>
      <c r="B1398" s="3" t="s">
        <v>626</v>
      </c>
      <c r="C1398" s="3" t="s">
        <v>105</v>
      </c>
    </row>
    <row r="1399" spans="1:3" ht="15" x14ac:dyDescent="0.25">
      <c r="A1399" s="3" t="s">
        <v>492</v>
      </c>
      <c r="B1399" s="3" t="s">
        <v>626</v>
      </c>
      <c r="C1399" s="3" t="s">
        <v>105</v>
      </c>
    </row>
    <row r="1400" spans="1:3" ht="15" x14ac:dyDescent="0.25">
      <c r="A1400" s="3" t="s">
        <v>449</v>
      </c>
      <c r="B1400" s="3" t="s">
        <v>626</v>
      </c>
      <c r="C1400" s="3" t="s">
        <v>105</v>
      </c>
    </row>
    <row r="1401" spans="1:3" ht="15" x14ac:dyDescent="0.25">
      <c r="A1401" s="3" t="s">
        <v>302</v>
      </c>
      <c r="B1401" s="3" t="s">
        <v>626</v>
      </c>
      <c r="C1401" s="3" t="s">
        <v>105</v>
      </c>
    </row>
    <row r="1402" spans="1:3" ht="15" x14ac:dyDescent="0.25">
      <c r="A1402" s="3" t="s">
        <v>350</v>
      </c>
      <c r="B1402" s="3" t="s">
        <v>626</v>
      </c>
      <c r="C1402" s="3" t="s">
        <v>105</v>
      </c>
    </row>
    <row r="1403" spans="1:3" ht="15" x14ac:dyDescent="0.25">
      <c r="A1403" s="3" t="s">
        <v>229</v>
      </c>
      <c r="B1403" s="3" t="s">
        <v>626</v>
      </c>
      <c r="C1403" s="3" t="s">
        <v>105</v>
      </c>
    </row>
    <row r="1404" spans="1:3" ht="15" x14ac:dyDescent="0.25">
      <c r="A1404" s="3" t="s">
        <v>137</v>
      </c>
      <c r="B1404" s="3" t="s">
        <v>626</v>
      </c>
      <c r="C1404" s="3" t="s">
        <v>105</v>
      </c>
    </row>
    <row r="1405" spans="1:3" ht="15" x14ac:dyDescent="0.25">
      <c r="A1405" s="3" t="s">
        <v>521</v>
      </c>
      <c r="B1405" s="3" t="s">
        <v>626</v>
      </c>
      <c r="C1405" s="3" t="s">
        <v>105</v>
      </c>
    </row>
    <row r="1406" spans="1:3" ht="15" x14ac:dyDescent="0.25">
      <c r="A1406" s="3" t="s">
        <v>319</v>
      </c>
      <c r="B1406" s="3" t="s">
        <v>626</v>
      </c>
      <c r="C1406" s="3" t="s">
        <v>105</v>
      </c>
    </row>
    <row r="1407" spans="1:3" ht="15" x14ac:dyDescent="0.25">
      <c r="A1407" s="3" t="s">
        <v>397</v>
      </c>
      <c r="B1407" s="3" t="s">
        <v>626</v>
      </c>
      <c r="C1407" s="3" t="s">
        <v>105</v>
      </c>
    </row>
    <row r="1408" spans="1:3" ht="15" x14ac:dyDescent="0.25">
      <c r="A1408" s="3" t="s">
        <v>317</v>
      </c>
      <c r="B1408" s="3" t="s">
        <v>626</v>
      </c>
      <c r="C1408" s="3" t="s">
        <v>105</v>
      </c>
    </row>
    <row r="1409" spans="1:3" ht="15" x14ac:dyDescent="0.25">
      <c r="A1409" s="3" t="s">
        <v>264</v>
      </c>
      <c r="B1409" s="3" t="s">
        <v>626</v>
      </c>
      <c r="C1409" s="3" t="s">
        <v>105</v>
      </c>
    </row>
    <row r="1410" spans="1:3" ht="15" x14ac:dyDescent="0.25">
      <c r="A1410" s="3" t="s">
        <v>225</v>
      </c>
      <c r="B1410" s="3" t="s">
        <v>626</v>
      </c>
      <c r="C1410" s="3" t="s">
        <v>105</v>
      </c>
    </row>
    <row r="1411" spans="1:3" ht="15" x14ac:dyDescent="0.25">
      <c r="A1411" s="3" t="s">
        <v>391</v>
      </c>
      <c r="B1411" s="3" t="s">
        <v>626</v>
      </c>
      <c r="C1411" s="3" t="s">
        <v>105</v>
      </c>
    </row>
    <row r="1412" spans="1:3" ht="15" x14ac:dyDescent="0.25">
      <c r="A1412" s="3" t="s">
        <v>227</v>
      </c>
      <c r="B1412" s="3" t="s">
        <v>626</v>
      </c>
      <c r="C1412" s="3" t="s">
        <v>105</v>
      </c>
    </row>
    <row r="1413" spans="1:3" ht="15" x14ac:dyDescent="0.25">
      <c r="A1413" s="3" t="s">
        <v>162</v>
      </c>
      <c r="B1413" s="3" t="s">
        <v>626</v>
      </c>
      <c r="C1413" s="3" t="s">
        <v>105</v>
      </c>
    </row>
    <row r="1414" spans="1:3" ht="15" x14ac:dyDescent="0.25">
      <c r="A1414" s="3" t="s">
        <v>205</v>
      </c>
      <c r="B1414" s="3" t="s">
        <v>633</v>
      </c>
      <c r="C1414" s="3" t="s">
        <v>443</v>
      </c>
    </row>
    <row r="1415" spans="1:3" ht="15" x14ac:dyDescent="0.25">
      <c r="A1415" s="3" t="s">
        <v>484</v>
      </c>
      <c r="B1415" s="3" t="s">
        <v>633</v>
      </c>
      <c r="C1415" s="3" t="s">
        <v>443</v>
      </c>
    </row>
    <row r="1416" spans="1:3" ht="15" x14ac:dyDescent="0.25">
      <c r="A1416" s="3" t="s">
        <v>431</v>
      </c>
      <c r="B1416" s="3" t="s">
        <v>633</v>
      </c>
      <c r="C1416" s="3" t="s">
        <v>443</v>
      </c>
    </row>
    <row r="1417" spans="1:3" ht="15" x14ac:dyDescent="0.25">
      <c r="A1417" s="3" t="s">
        <v>395</v>
      </c>
      <c r="B1417" s="3" t="s">
        <v>633</v>
      </c>
      <c r="C1417" s="3" t="s">
        <v>443</v>
      </c>
    </row>
    <row r="1418" spans="1:3" ht="15" x14ac:dyDescent="0.25">
      <c r="A1418" s="3" t="s">
        <v>169</v>
      </c>
      <c r="B1418" s="3" t="s">
        <v>633</v>
      </c>
      <c r="C1418" s="3" t="s">
        <v>443</v>
      </c>
    </row>
    <row r="1419" spans="1:3" ht="15" x14ac:dyDescent="0.25">
      <c r="A1419" s="3" t="s">
        <v>533</v>
      </c>
      <c r="B1419" s="3" t="s">
        <v>633</v>
      </c>
      <c r="C1419" s="3" t="s">
        <v>443</v>
      </c>
    </row>
    <row r="1420" spans="1:3" ht="15" x14ac:dyDescent="0.25">
      <c r="A1420" s="3" t="s">
        <v>634</v>
      </c>
      <c r="B1420" s="3" t="s">
        <v>633</v>
      </c>
      <c r="C1420" s="3" t="s">
        <v>443</v>
      </c>
    </row>
    <row r="1421" spans="1:3" ht="15" x14ac:dyDescent="0.25">
      <c r="A1421" s="3" t="s">
        <v>247</v>
      </c>
      <c r="B1421" s="3" t="s">
        <v>633</v>
      </c>
      <c r="C1421" s="3" t="s">
        <v>443</v>
      </c>
    </row>
    <row r="1422" spans="1:3" ht="15" x14ac:dyDescent="0.25">
      <c r="A1422" s="3" t="s">
        <v>249</v>
      </c>
      <c r="B1422" s="3" t="s">
        <v>633</v>
      </c>
      <c r="C1422" s="3" t="s">
        <v>443</v>
      </c>
    </row>
    <row r="1423" spans="1:3" ht="15" x14ac:dyDescent="0.25">
      <c r="A1423" s="3" t="s">
        <v>193</v>
      </c>
      <c r="B1423" s="3" t="s">
        <v>633</v>
      </c>
      <c r="C1423" s="3" t="s">
        <v>443</v>
      </c>
    </row>
    <row r="1424" spans="1:3" ht="15" x14ac:dyDescent="0.25">
      <c r="A1424" s="3" t="s">
        <v>492</v>
      </c>
      <c r="B1424" s="3" t="s">
        <v>633</v>
      </c>
      <c r="C1424" s="3" t="s">
        <v>443</v>
      </c>
    </row>
    <row r="1425" spans="1:3" ht="15" x14ac:dyDescent="0.25">
      <c r="A1425" s="3" t="s">
        <v>308</v>
      </c>
      <c r="B1425" s="3" t="s">
        <v>633</v>
      </c>
      <c r="C1425" s="3" t="s">
        <v>443</v>
      </c>
    </row>
    <row r="1426" spans="1:3" ht="15" x14ac:dyDescent="0.25">
      <c r="A1426" s="3" t="s">
        <v>364</v>
      </c>
      <c r="B1426" s="3" t="s">
        <v>633</v>
      </c>
      <c r="C1426" s="3" t="s">
        <v>443</v>
      </c>
    </row>
    <row r="1427" spans="1:3" ht="15" x14ac:dyDescent="0.25">
      <c r="A1427" s="3" t="s">
        <v>259</v>
      </c>
      <c r="B1427" s="3" t="s">
        <v>633</v>
      </c>
      <c r="C1427" s="3" t="s">
        <v>443</v>
      </c>
    </row>
    <row r="1428" spans="1:3" ht="15" x14ac:dyDescent="0.25">
      <c r="A1428" s="3" t="s">
        <v>158</v>
      </c>
      <c r="B1428" s="3" t="s">
        <v>633</v>
      </c>
      <c r="C1428" s="3" t="s">
        <v>443</v>
      </c>
    </row>
    <row r="1429" spans="1:3" ht="15" x14ac:dyDescent="0.25">
      <c r="A1429" s="3" t="s">
        <v>266</v>
      </c>
      <c r="B1429" s="3" t="s">
        <v>633</v>
      </c>
      <c r="C1429" s="3" t="s">
        <v>443</v>
      </c>
    </row>
    <row r="1430" spans="1:3" ht="15" x14ac:dyDescent="0.25">
      <c r="A1430" s="3" t="s">
        <v>269</v>
      </c>
      <c r="B1430" s="3" t="s">
        <v>633</v>
      </c>
      <c r="C1430" s="3" t="s">
        <v>443</v>
      </c>
    </row>
    <row r="1431" spans="1:3" ht="15" x14ac:dyDescent="0.25">
      <c r="A1431" s="3" t="s">
        <v>331</v>
      </c>
      <c r="B1431" s="3" t="s">
        <v>633</v>
      </c>
      <c r="C1431" s="3" t="s">
        <v>443</v>
      </c>
    </row>
    <row r="1432" spans="1:3" ht="15" x14ac:dyDescent="0.25">
      <c r="A1432" s="3" t="s">
        <v>119</v>
      </c>
      <c r="B1432" s="3" t="s">
        <v>633</v>
      </c>
      <c r="C1432" s="3" t="s">
        <v>443</v>
      </c>
    </row>
    <row r="1433" spans="1:3" ht="15" x14ac:dyDescent="0.25">
      <c r="A1433" s="3" t="s">
        <v>120</v>
      </c>
      <c r="B1433" s="3" t="s">
        <v>633</v>
      </c>
      <c r="C1433" s="3" t="s">
        <v>443</v>
      </c>
    </row>
    <row r="1434" spans="1:3" ht="15" x14ac:dyDescent="0.25">
      <c r="A1434" s="3" t="s">
        <v>471</v>
      </c>
      <c r="B1434" s="3" t="s">
        <v>637</v>
      </c>
      <c r="C1434" s="3" t="s">
        <v>280</v>
      </c>
    </row>
    <row r="1435" spans="1:3" ht="15" x14ac:dyDescent="0.25">
      <c r="A1435" s="3" t="s">
        <v>471</v>
      </c>
      <c r="B1435" s="3" t="s">
        <v>638</v>
      </c>
      <c r="C1435" s="3" t="s">
        <v>280</v>
      </c>
    </row>
    <row r="1436" spans="1:3" ht="15" x14ac:dyDescent="0.25">
      <c r="A1436" s="3" t="s">
        <v>471</v>
      </c>
      <c r="B1436" s="3" t="s">
        <v>639</v>
      </c>
      <c r="C1436" s="3" t="s">
        <v>280</v>
      </c>
    </row>
    <row r="1437" spans="1:3" ht="15" x14ac:dyDescent="0.25">
      <c r="A1437" s="3" t="s">
        <v>267</v>
      </c>
      <c r="B1437" s="3" t="s">
        <v>639</v>
      </c>
      <c r="C1437" s="3" t="s">
        <v>280</v>
      </c>
    </row>
    <row r="1438" spans="1:3" ht="15" x14ac:dyDescent="0.25">
      <c r="A1438" s="3" t="s">
        <v>471</v>
      </c>
      <c r="B1438" s="3" t="s">
        <v>640</v>
      </c>
      <c r="C1438" s="3" t="s">
        <v>280</v>
      </c>
    </row>
    <row r="1439" spans="1:3" ht="15" x14ac:dyDescent="0.25">
      <c r="A1439" s="3" t="s">
        <v>471</v>
      </c>
      <c r="B1439" s="3" t="s">
        <v>635</v>
      </c>
      <c r="C1439" s="3" t="s">
        <v>280</v>
      </c>
    </row>
    <row r="1440" spans="1:3" ht="15" x14ac:dyDescent="0.25">
      <c r="A1440" s="3" t="s">
        <v>207</v>
      </c>
      <c r="B1440" s="3" t="s">
        <v>641</v>
      </c>
      <c r="C1440" s="3" t="s">
        <v>280</v>
      </c>
    </row>
    <row r="1441" spans="1:3" ht="15" x14ac:dyDescent="0.25">
      <c r="A1441" s="3" t="s">
        <v>20</v>
      </c>
      <c r="B1441" s="3" t="s">
        <v>641</v>
      </c>
      <c r="C1441" s="3" t="s">
        <v>280</v>
      </c>
    </row>
    <row r="1442" spans="1:3" ht="15" x14ac:dyDescent="0.25">
      <c r="A1442" s="3" t="s">
        <v>516</v>
      </c>
      <c r="B1442" s="3" t="s">
        <v>641</v>
      </c>
      <c r="C1442" s="3" t="s">
        <v>280</v>
      </c>
    </row>
    <row r="1443" spans="1:3" ht="15" x14ac:dyDescent="0.25">
      <c r="A1443" s="3" t="s">
        <v>393</v>
      </c>
      <c r="B1443" s="3" t="s">
        <v>641</v>
      </c>
      <c r="C1443" s="3" t="s">
        <v>280</v>
      </c>
    </row>
    <row r="1444" spans="1:3" ht="15" x14ac:dyDescent="0.25">
      <c r="A1444" s="3" t="s">
        <v>318</v>
      </c>
      <c r="B1444" s="3" t="s">
        <v>641</v>
      </c>
      <c r="C1444" s="3" t="s">
        <v>280</v>
      </c>
    </row>
    <row r="1445" spans="1:3" ht="15" x14ac:dyDescent="0.25">
      <c r="A1445" s="3" t="s">
        <v>344</v>
      </c>
      <c r="B1445" s="3" t="s">
        <v>641</v>
      </c>
      <c r="C1445" s="3" t="s">
        <v>280</v>
      </c>
    </row>
    <row r="1446" spans="1:3" ht="15" x14ac:dyDescent="0.25">
      <c r="A1446" s="3" t="s">
        <v>95</v>
      </c>
      <c r="B1446" s="3" t="s">
        <v>641</v>
      </c>
      <c r="C1446" s="3" t="s">
        <v>280</v>
      </c>
    </row>
    <row r="1447" spans="1:3" ht="15" x14ac:dyDescent="0.25">
      <c r="A1447" s="3" t="s">
        <v>124</v>
      </c>
      <c r="B1447" s="3" t="s">
        <v>642</v>
      </c>
      <c r="C1447" s="3" t="s">
        <v>280</v>
      </c>
    </row>
    <row r="1448" spans="1:3" ht="15" x14ac:dyDescent="0.25">
      <c r="A1448" s="3" t="s">
        <v>242</v>
      </c>
      <c r="B1448" s="3" t="s">
        <v>642</v>
      </c>
      <c r="C1448" s="3" t="s">
        <v>280</v>
      </c>
    </row>
    <row r="1449" spans="1:3" ht="15" x14ac:dyDescent="0.25">
      <c r="A1449" s="3" t="s">
        <v>142</v>
      </c>
      <c r="B1449" s="3" t="s">
        <v>642</v>
      </c>
      <c r="C1449" s="3" t="s">
        <v>280</v>
      </c>
    </row>
    <row r="1450" spans="1:3" ht="15" x14ac:dyDescent="0.25">
      <c r="A1450" s="3" t="s">
        <v>643</v>
      </c>
      <c r="B1450" s="3" t="s">
        <v>642</v>
      </c>
      <c r="C1450" s="3" t="s">
        <v>280</v>
      </c>
    </row>
    <row r="1451" spans="1:3" ht="15" x14ac:dyDescent="0.25">
      <c r="A1451" s="3" t="s">
        <v>113</v>
      </c>
      <c r="B1451" s="3" t="s">
        <v>642</v>
      </c>
      <c r="C1451" s="3" t="s">
        <v>280</v>
      </c>
    </row>
    <row r="1452" spans="1:3" ht="15" x14ac:dyDescent="0.25">
      <c r="A1452" s="3" t="s">
        <v>381</v>
      </c>
      <c r="B1452" s="3" t="s">
        <v>642</v>
      </c>
      <c r="C1452" s="3" t="s">
        <v>280</v>
      </c>
    </row>
    <row r="1453" spans="1:3" ht="15" x14ac:dyDescent="0.25">
      <c r="A1453" s="3" t="s">
        <v>337</v>
      </c>
      <c r="B1453" s="3" t="s">
        <v>642</v>
      </c>
      <c r="C1453" s="3" t="s">
        <v>280</v>
      </c>
    </row>
    <row r="1454" spans="1:3" ht="15" x14ac:dyDescent="0.25">
      <c r="A1454" s="3" t="s">
        <v>400</v>
      </c>
      <c r="B1454" s="3" t="s">
        <v>642</v>
      </c>
      <c r="C1454" s="3" t="s">
        <v>280</v>
      </c>
    </row>
    <row r="1455" spans="1:3" ht="15" x14ac:dyDescent="0.25">
      <c r="A1455" s="3" t="s">
        <v>273</v>
      </c>
      <c r="B1455" s="3" t="s">
        <v>642</v>
      </c>
      <c r="C1455" s="3" t="s">
        <v>280</v>
      </c>
    </row>
    <row r="1456" spans="1:3" ht="15" x14ac:dyDescent="0.25">
      <c r="A1456" s="3" t="s">
        <v>97</v>
      </c>
      <c r="B1456" s="3" t="s">
        <v>642</v>
      </c>
      <c r="C1456" s="3" t="s">
        <v>280</v>
      </c>
    </row>
    <row r="1457" spans="1:3" ht="15" x14ac:dyDescent="0.25">
      <c r="A1457" s="3" t="s">
        <v>328</v>
      </c>
      <c r="B1457" s="3" t="s">
        <v>642</v>
      </c>
      <c r="C1457" s="3" t="s">
        <v>280</v>
      </c>
    </row>
    <row r="1458" spans="1:3" ht="15" x14ac:dyDescent="0.25">
      <c r="A1458" s="3" t="s">
        <v>163</v>
      </c>
      <c r="B1458" s="3" t="s">
        <v>642</v>
      </c>
      <c r="C1458" s="3" t="s">
        <v>280</v>
      </c>
    </row>
    <row r="1459" spans="1:3" ht="15" x14ac:dyDescent="0.25">
      <c r="A1459" s="3" t="s">
        <v>277</v>
      </c>
      <c r="B1459" s="3" t="s">
        <v>642</v>
      </c>
      <c r="C1459" s="3" t="s">
        <v>280</v>
      </c>
    </row>
    <row r="1460" spans="1:3" ht="15" x14ac:dyDescent="0.25">
      <c r="A1460" s="3" t="s">
        <v>204</v>
      </c>
      <c r="B1460" s="3" t="s">
        <v>642</v>
      </c>
      <c r="C1460" s="3" t="s">
        <v>280</v>
      </c>
    </row>
    <row r="1461" spans="1:3" ht="15" x14ac:dyDescent="0.25">
      <c r="A1461" s="3" t="s">
        <v>466</v>
      </c>
      <c r="B1461" s="3" t="s">
        <v>607</v>
      </c>
      <c r="C1461" s="3" t="s">
        <v>280</v>
      </c>
    </row>
    <row r="1462" spans="1:3" ht="15" x14ac:dyDescent="0.25">
      <c r="A1462" s="3" t="s">
        <v>466</v>
      </c>
      <c r="B1462" s="3" t="s">
        <v>644</v>
      </c>
      <c r="C1462" s="3" t="s">
        <v>280</v>
      </c>
    </row>
    <row r="1463" spans="1:3" ht="15" x14ac:dyDescent="0.25">
      <c r="A1463" s="3" t="s">
        <v>283</v>
      </c>
      <c r="B1463" s="3" t="s">
        <v>645</v>
      </c>
      <c r="C1463" s="3" t="s">
        <v>168</v>
      </c>
    </row>
    <row r="1464" spans="1:3" ht="15" x14ac:dyDescent="0.25">
      <c r="A1464" s="3" t="s">
        <v>646</v>
      </c>
      <c r="B1464" s="3" t="s">
        <v>645</v>
      </c>
      <c r="C1464" s="3" t="s">
        <v>168</v>
      </c>
    </row>
    <row r="1465" spans="1:3" ht="15" x14ac:dyDescent="0.25">
      <c r="A1465" s="3" t="s">
        <v>209</v>
      </c>
      <c r="B1465" s="3" t="s">
        <v>645</v>
      </c>
      <c r="C1465" s="3" t="s">
        <v>168</v>
      </c>
    </row>
    <row r="1466" spans="1:3" ht="15" x14ac:dyDescent="0.25">
      <c r="A1466" s="3" t="s">
        <v>287</v>
      </c>
      <c r="B1466" s="3" t="s">
        <v>645</v>
      </c>
      <c r="C1466" s="3" t="s">
        <v>168</v>
      </c>
    </row>
    <row r="1467" spans="1:3" ht="15" x14ac:dyDescent="0.25">
      <c r="A1467" s="3" t="s">
        <v>288</v>
      </c>
      <c r="B1467" s="3" t="s">
        <v>645</v>
      </c>
      <c r="C1467" s="3" t="s">
        <v>168</v>
      </c>
    </row>
    <row r="1468" spans="1:3" ht="15" x14ac:dyDescent="0.25">
      <c r="A1468" s="3" t="s">
        <v>291</v>
      </c>
      <c r="B1468" s="3" t="s">
        <v>645</v>
      </c>
      <c r="C1468" s="3" t="s">
        <v>168</v>
      </c>
    </row>
    <row r="1469" spans="1:3" ht="15" x14ac:dyDescent="0.25">
      <c r="A1469" s="3" t="s">
        <v>292</v>
      </c>
      <c r="B1469" s="3" t="s">
        <v>645</v>
      </c>
      <c r="C1469" s="3" t="s">
        <v>168</v>
      </c>
    </row>
    <row r="1470" spans="1:3" ht="15" x14ac:dyDescent="0.25">
      <c r="A1470" s="3" t="s">
        <v>293</v>
      </c>
      <c r="B1470" s="3" t="s">
        <v>645</v>
      </c>
      <c r="C1470" s="3" t="s">
        <v>168</v>
      </c>
    </row>
    <row r="1471" spans="1:3" ht="15" x14ac:dyDescent="0.25">
      <c r="A1471" s="3" t="s">
        <v>212</v>
      </c>
      <c r="B1471" s="3" t="s">
        <v>645</v>
      </c>
      <c r="C1471" s="3" t="s">
        <v>168</v>
      </c>
    </row>
    <row r="1472" spans="1:3" ht="15" x14ac:dyDescent="0.25">
      <c r="A1472" s="3" t="s">
        <v>296</v>
      </c>
      <c r="B1472" s="3" t="s">
        <v>645</v>
      </c>
      <c r="C1472" s="3" t="s">
        <v>168</v>
      </c>
    </row>
    <row r="1473" spans="1:3" ht="15" x14ac:dyDescent="0.25">
      <c r="A1473" s="3" t="s">
        <v>16</v>
      </c>
      <c r="B1473" s="3" t="s">
        <v>645</v>
      </c>
      <c r="C1473" s="3" t="s">
        <v>168</v>
      </c>
    </row>
    <row r="1474" spans="1:3" ht="15" x14ac:dyDescent="0.25">
      <c r="A1474" s="3" t="s">
        <v>138</v>
      </c>
      <c r="B1474" s="3" t="s">
        <v>645</v>
      </c>
      <c r="C1474" s="3" t="s">
        <v>168</v>
      </c>
    </row>
    <row r="1475" spans="1:3" ht="15" x14ac:dyDescent="0.25">
      <c r="A1475" s="3" t="s">
        <v>214</v>
      </c>
      <c r="B1475" s="3" t="s">
        <v>645</v>
      </c>
      <c r="C1475" s="3" t="s">
        <v>168</v>
      </c>
    </row>
    <row r="1476" spans="1:3" ht="15" x14ac:dyDescent="0.25">
      <c r="A1476" s="3" t="s">
        <v>25</v>
      </c>
      <c r="B1476" s="3" t="s">
        <v>645</v>
      </c>
      <c r="C1476" s="3" t="s">
        <v>168</v>
      </c>
    </row>
    <row r="1477" spans="1:3" ht="15" x14ac:dyDescent="0.25">
      <c r="A1477" s="3" t="s">
        <v>298</v>
      </c>
      <c r="B1477" s="3" t="s">
        <v>645</v>
      </c>
      <c r="C1477" s="3" t="s">
        <v>168</v>
      </c>
    </row>
    <row r="1478" spans="1:3" ht="15" x14ac:dyDescent="0.25">
      <c r="A1478" s="3" t="s">
        <v>216</v>
      </c>
      <c r="B1478" s="3" t="s">
        <v>645</v>
      </c>
      <c r="C1478" s="3" t="s">
        <v>168</v>
      </c>
    </row>
    <row r="1479" spans="1:3" ht="15" x14ac:dyDescent="0.25">
      <c r="A1479" s="3" t="s">
        <v>516</v>
      </c>
      <c r="B1479" s="3" t="s">
        <v>645</v>
      </c>
      <c r="C1479" s="3" t="s">
        <v>168</v>
      </c>
    </row>
    <row r="1480" spans="1:3" ht="15" x14ac:dyDescent="0.25">
      <c r="A1480" s="3" t="s">
        <v>33</v>
      </c>
      <c r="B1480" s="3" t="s">
        <v>645</v>
      </c>
      <c r="C1480" s="3" t="s">
        <v>168</v>
      </c>
    </row>
    <row r="1481" spans="1:3" ht="15" x14ac:dyDescent="0.25">
      <c r="A1481" s="3" t="s">
        <v>303</v>
      </c>
      <c r="B1481" s="3" t="s">
        <v>645</v>
      </c>
      <c r="C1481" s="3" t="s">
        <v>168</v>
      </c>
    </row>
    <row r="1482" spans="1:3" ht="15" x14ac:dyDescent="0.25">
      <c r="A1482" s="3" t="s">
        <v>542</v>
      </c>
      <c r="B1482" s="3" t="s">
        <v>645</v>
      </c>
      <c r="C1482" s="3" t="s">
        <v>168</v>
      </c>
    </row>
    <row r="1483" spans="1:3" ht="15" x14ac:dyDescent="0.25">
      <c r="A1483" s="3" t="s">
        <v>41</v>
      </c>
      <c r="B1483" s="3" t="s">
        <v>645</v>
      </c>
      <c r="C1483" s="3" t="s">
        <v>168</v>
      </c>
    </row>
    <row r="1484" spans="1:3" ht="15" x14ac:dyDescent="0.25">
      <c r="A1484" s="3" t="s">
        <v>308</v>
      </c>
      <c r="B1484" s="3" t="s">
        <v>645</v>
      </c>
      <c r="C1484" s="3" t="s">
        <v>168</v>
      </c>
    </row>
    <row r="1485" spans="1:3" ht="15" x14ac:dyDescent="0.25">
      <c r="A1485" s="3" t="s">
        <v>174</v>
      </c>
      <c r="B1485" s="3" t="s">
        <v>645</v>
      </c>
      <c r="C1485" s="3" t="s">
        <v>168</v>
      </c>
    </row>
    <row r="1486" spans="1:3" ht="15" x14ac:dyDescent="0.25">
      <c r="A1486" s="3" t="s">
        <v>340</v>
      </c>
      <c r="B1486" s="3" t="s">
        <v>645</v>
      </c>
      <c r="C1486" s="3" t="s">
        <v>168</v>
      </c>
    </row>
    <row r="1487" spans="1:3" ht="15" x14ac:dyDescent="0.25">
      <c r="A1487" s="3" t="s">
        <v>317</v>
      </c>
      <c r="B1487" s="3" t="s">
        <v>645</v>
      </c>
      <c r="C1487" s="3" t="s">
        <v>168</v>
      </c>
    </row>
    <row r="1488" spans="1:3" ht="15" x14ac:dyDescent="0.25">
      <c r="A1488" s="3" t="s">
        <v>398</v>
      </c>
      <c r="B1488" s="3" t="s">
        <v>645</v>
      </c>
      <c r="C1488" s="3" t="s">
        <v>168</v>
      </c>
    </row>
    <row r="1489" spans="1:3" ht="15" x14ac:dyDescent="0.25">
      <c r="A1489" s="3" t="s">
        <v>341</v>
      </c>
      <c r="B1489" s="3" t="s">
        <v>645</v>
      </c>
      <c r="C1489" s="3" t="s">
        <v>168</v>
      </c>
    </row>
    <row r="1490" spans="1:3" ht="15" x14ac:dyDescent="0.25">
      <c r="A1490" s="3" t="s">
        <v>260</v>
      </c>
      <c r="B1490" s="3" t="s">
        <v>645</v>
      </c>
      <c r="C1490" s="3" t="s">
        <v>168</v>
      </c>
    </row>
    <row r="1491" spans="1:3" ht="15" x14ac:dyDescent="0.25">
      <c r="A1491" s="3" t="s">
        <v>468</v>
      </c>
      <c r="B1491" s="3" t="s">
        <v>645</v>
      </c>
      <c r="C1491" s="3" t="s">
        <v>168</v>
      </c>
    </row>
    <row r="1492" spans="1:3" ht="15" x14ac:dyDescent="0.25">
      <c r="A1492" s="3" t="s">
        <v>318</v>
      </c>
      <c r="B1492" s="3" t="s">
        <v>645</v>
      </c>
      <c r="C1492" s="3" t="s">
        <v>168</v>
      </c>
    </row>
    <row r="1493" spans="1:3" ht="15" x14ac:dyDescent="0.25">
      <c r="A1493" s="3" t="s">
        <v>224</v>
      </c>
      <c r="B1493" s="3" t="s">
        <v>645</v>
      </c>
      <c r="C1493" s="3" t="s">
        <v>168</v>
      </c>
    </row>
    <row r="1494" spans="1:3" ht="15" x14ac:dyDescent="0.25">
      <c r="A1494" s="3" t="s">
        <v>261</v>
      </c>
      <c r="B1494" s="3" t="s">
        <v>645</v>
      </c>
      <c r="C1494" s="3" t="s">
        <v>168</v>
      </c>
    </row>
    <row r="1495" spans="1:3" ht="15" x14ac:dyDescent="0.25">
      <c r="A1495" s="3" t="s">
        <v>320</v>
      </c>
      <c r="B1495" s="3" t="s">
        <v>645</v>
      </c>
      <c r="C1495" s="3" t="s">
        <v>168</v>
      </c>
    </row>
    <row r="1496" spans="1:3" ht="15" x14ac:dyDescent="0.25">
      <c r="A1496" s="3" t="s">
        <v>64</v>
      </c>
      <c r="B1496" s="3" t="s">
        <v>645</v>
      </c>
      <c r="C1496" s="3" t="s">
        <v>168</v>
      </c>
    </row>
    <row r="1497" spans="1:3" ht="15" x14ac:dyDescent="0.25">
      <c r="A1497" s="3" t="s">
        <v>326</v>
      </c>
      <c r="B1497" s="3" t="s">
        <v>645</v>
      </c>
      <c r="C1497" s="3" t="s">
        <v>168</v>
      </c>
    </row>
    <row r="1498" spans="1:3" ht="15" x14ac:dyDescent="0.25">
      <c r="A1498" s="3" t="s">
        <v>227</v>
      </c>
      <c r="B1498" s="3" t="s">
        <v>645</v>
      </c>
      <c r="C1498" s="3" t="s">
        <v>168</v>
      </c>
    </row>
    <row r="1499" spans="1:3" ht="15" x14ac:dyDescent="0.25">
      <c r="A1499" s="3" t="s">
        <v>271</v>
      </c>
      <c r="B1499" s="3" t="s">
        <v>645</v>
      </c>
      <c r="C1499" s="3" t="s">
        <v>168</v>
      </c>
    </row>
    <row r="1500" spans="1:3" ht="15" x14ac:dyDescent="0.25">
      <c r="A1500" s="3" t="s">
        <v>649</v>
      </c>
      <c r="B1500" s="3" t="s">
        <v>645</v>
      </c>
      <c r="C1500" s="3" t="s">
        <v>168</v>
      </c>
    </row>
    <row r="1501" spans="1:3" ht="15" x14ac:dyDescent="0.25">
      <c r="A1501" s="3" t="s">
        <v>102</v>
      </c>
      <c r="B1501" s="3" t="s">
        <v>645</v>
      </c>
      <c r="C1501" s="3" t="s">
        <v>168</v>
      </c>
    </row>
    <row r="1502" spans="1:3" ht="15" x14ac:dyDescent="0.25">
      <c r="A1502" s="3" t="s">
        <v>346</v>
      </c>
      <c r="B1502" s="3" t="s">
        <v>645</v>
      </c>
      <c r="C1502" s="3" t="s">
        <v>168</v>
      </c>
    </row>
    <row r="1503" spans="1:3" ht="15" x14ac:dyDescent="0.25">
      <c r="A1503" s="3" t="s">
        <v>283</v>
      </c>
      <c r="B1503" s="3" t="s">
        <v>650</v>
      </c>
      <c r="C1503" s="3" t="s">
        <v>168</v>
      </c>
    </row>
    <row r="1504" spans="1:3" ht="15" x14ac:dyDescent="0.25">
      <c r="A1504" s="3" t="s">
        <v>287</v>
      </c>
      <c r="B1504" s="3" t="s">
        <v>650</v>
      </c>
      <c r="C1504" s="3" t="s">
        <v>168</v>
      </c>
    </row>
    <row r="1505" spans="1:3" ht="15" x14ac:dyDescent="0.25">
      <c r="A1505" s="3" t="s">
        <v>291</v>
      </c>
      <c r="B1505" s="3" t="s">
        <v>650</v>
      </c>
      <c r="C1505" s="3" t="s">
        <v>168</v>
      </c>
    </row>
    <row r="1506" spans="1:3" ht="15" x14ac:dyDescent="0.25">
      <c r="A1506" s="3" t="s">
        <v>212</v>
      </c>
      <c r="B1506" s="3" t="s">
        <v>650</v>
      </c>
      <c r="C1506" s="3" t="s">
        <v>168</v>
      </c>
    </row>
    <row r="1507" spans="1:3" ht="15" x14ac:dyDescent="0.25">
      <c r="A1507" s="3" t="s">
        <v>464</v>
      </c>
      <c r="B1507" s="3" t="s">
        <v>650</v>
      </c>
      <c r="C1507" s="3" t="s">
        <v>168</v>
      </c>
    </row>
    <row r="1508" spans="1:3" ht="15" x14ac:dyDescent="0.25">
      <c r="A1508" s="3" t="s">
        <v>138</v>
      </c>
      <c r="B1508" s="3" t="s">
        <v>650</v>
      </c>
      <c r="C1508" s="3" t="s">
        <v>168</v>
      </c>
    </row>
    <row r="1509" spans="1:3" ht="15" x14ac:dyDescent="0.25">
      <c r="A1509" s="3" t="s">
        <v>303</v>
      </c>
      <c r="B1509" s="3" t="s">
        <v>650</v>
      </c>
      <c r="C1509" s="3" t="s">
        <v>168</v>
      </c>
    </row>
    <row r="1510" spans="1:3" ht="15" x14ac:dyDescent="0.25">
      <c r="A1510" s="3" t="s">
        <v>137</v>
      </c>
      <c r="B1510" s="3" t="s">
        <v>650</v>
      </c>
      <c r="C1510" s="3" t="s">
        <v>168</v>
      </c>
    </row>
    <row r="1511" spans="1:3" ht="15" x14ac:dyDescent="0.25">
      <c r="A1511" s="3" t="s">
        <v>320</v>
      </c>
      <c r="B1511" s="3" t="s">
        <v>650</v>
      </c>
      <c r="C1511" s="3" t="s">
        <v>168</v>
      </c>
    </row>
    <row r="1512" spans="1:3" ht="15" x14ac:dyDescent="0.25">
      <c r="A1512" s="3" t="s">
        <v>226</v>
      </c>
      <c r="B1512" s="3" t="s">
        <v>650</v>
      </c>
      <c r="C1512" s="3" t="s">
        <v>168</v>
      </c>
    </row>
    <row r="1513" spans="1:3" ht="15" x14ac:dyDescent="0.25">
      <c r="A1513" s="3" t="s">
        <v>326</v>
      </c>
      <c r="B1513" s="3" t="s">
        <v>650</v>
      </c>
      <c r="C1513" s="3" t="s">
        <v>168</v>
      </c>
    </row>
    <row r="1514" spans="1:3" ht="15" x14ac:dyDescent="0.25">
      <c r="A1514" s="3" t="s">
        <v>271</v>
      </c>
      <c r="B1514" s="3" t="s">
        <v>650</v>
      </c>
      <c r="C1514" s="3" t="s">
        <v>168</v>
      </c>
    </row>
    <row r="1515" spans="1:3" ht="15" x14ac:dyDescent="0.25">
      <c r="A1515" s="3" t="s">
        <v>102</v>
      </c>
      <c r="B1515" s="3" t="s">
        <v>650</v>
      </c>
      <c r="C1515" s="3" t="s">
        <v>168</v>
      </c>
    </row>
    <row r="1516" spans="1:3" ht="15" x14ac:dyDescent="0.25">
      <c r="A1516" s="3" t="s">
        <v>346</v>
      </c>
      <c r="B1516" s="3" t="s">
        <v>650</v>
      </c>
      <c r="C1516" s="3" t="s">
        <v>168</v>
      </c>
    </row>
    <row r="1517" spans="1:3" ht="15" x14ac:dyDescent="0.25">
      <c r="A1517" s="3" t="s">
        <v>614</v>
      </c>
      <c r="B1517" s="3" t="s">
        <v>652</v>
      </c>
      <c r="C1517" s="3" t="s">
        <v>168</v>
      </c>
    </row>
    <row r="1518" spans="1:3" ht="15" x14ac:dyDescent="0.25">
      <c r="A1518" s="3" t="s">
        <v>8</v>
      </c>
      <c r="B1518" s="3" t="s">
        <v>652</v>
      </c>
      <c r="C1518" s="3" t="s">
        <v>168</v>
      </c>
    </row>
    <row r="1519" spans="1:3" ht="15" x14ac:dyDescent="0.25">
      <c r="A1519" s="3" t="s">
        <v>187</v>
      </c>
      <c r="B1519" s="3" t="s">
        <v>652</v>
      </c>
      <c r="C1519" s="3" t="s">
        <v>168</v>
      </c>
    </row>
    <row r="1520" spans="1:3" ht="15" x14ac:dyDescent="0.25">
      <c r="A1520" s="3" t="s">
        <v>129</v>
      </c>
      <c r="B1520" s="3" t="s">
        <v>652</v>
      </c>
      <c r="C1520" s="3" t="s">
        <v>168</v>
      </c>
    </row>
    <row r="1521" spans="1:3" ht="15" x14ac:dyDescent="0.25">
      <c r="A1521" s="3" t="s">
        <v>431</v>
      </c>
      <c r="B1521" s="3" t="s">
        <v>652</v>
      </c>
      <c r="C1521" s="3" t="s">
        <v>168</v>
      </c>
    </row>
    <row r="1522" spans="1:3" ht="15" x14ac:dyDescent="0.25">
      <c r="A1522" s="3" t="s">
        <v>16</v>
      </c>
      <c r="B1522" s="3" t="s">
        <v>652</v>
      </c>
      <c r="C1522" s="3" t="s">
        <v>168</v>
      </c>
    </row>
    <row r="1523" spans="1:3" ht="15" x14ac:dyDescent="0.25">
      <c r="A1523" s="3" t="s">
        <v>18</v>
      </c>
      <c r="B1523" s="3" t="s">
        <v>652</v>
      </c>
      <c r="C1523" s="3" t="s">
        <v>168</v>
      </c>
    </row>
    <row r="1524" spans="1:3" ht="15" x14ac:dyDescent="0.25">
      <c r="A1524" s="3" t="s">
        <v>22</v>
      </c>
      <c r="B1524" s="3" t="s">
        <v>652</v>
      </c>
      <c r="C1524" s="3" t="s">
        <v>168</v>
      </c>
    </row>
    <row r="1525" spans="1:3" ht="15" x14ac:dyDescent="0.25">
      <c r="A1525" s="3" t="s">
        <v>297</v>
      </c>
      <c r="B1525" s="3" t="s">
        <v>652</v>
      </c>
      <c r="C1525" s="3" t="s">
        <v>168</v>
      </c>
    </row>
    <row r="1526" spans="1:3" ht="15" x14ac:dyDescent="0.25">
      <c r="A1526" s="3" t="s">
        <v>240</v>
      </c>
      <c r="B1526" s="3" t="s">
        <v>652</v>
      </c>
      <c r="C1526" s="3" t="s">
        <v>168</v>
      </c>
    </row>
    <row r="1527" spans="1:3" ht="15" x14ac:dyDescent="0.25">
      <c r="A1527" s="3" t="s">
        <v>172</v>
      </c>
      <c r="B1527" s="3" t="s">
        <v>652</v>
      </c>
      <c r="C1527" s="3" t="s">
        <v>168</v>
      </c>
    </row>
    <row r="1528" spans="1:3" ht="15" x14ac:dyDescent="0.25">
      <c r="A1528" s="3" t="s">
        <v>249</v>
      </c>
      <c r="B1528" s="3" t="s">
        <v>652</v>
      </c>
      <c r="C1528" s="3" t="s">
        <v>168</v>
      </c>
    </row>
    <row r="1529" spans="1:3" ht="15" x14ac:dyDescent="0.25">
      <c r="A1529" s="3" t="s">
        <v>379</v>
      </c>
      <c r="B1529" s="3" t="s">
        <v>652</v>
      </c>
      <c r="C1529" s="3" t="s">
        <v>168</v>
      </c>
    </row>
    <row r="1530" spans="1:3" ht="15" x14ac:dyDescent="0.25">
      <c r="A1530" s="3" t="s">
        <v>219</v>
      </c>
      <c r="B1530" s="3" t="s">
        <v>652</v>
      </c>
      <c r="C1530" s="3" t="s">
        <v>168</v>
      </c>
    </row>
    <row r="1531" spans="1:3" ht="15" x14ac:dyDescent="0.25">
      <c r="A1531" s="3" t="s">
        <v>46</v>
      </c>
      <c r="B1531" s="3" t="s">
        <v>652</v>
      </c>
      <c r="C1531" s="3" t="s">
        <v>168</v>
      </c>
    </row>
    <row r="1532" spans="1:3" ht="15" x14ac:dyDescent="0.25">
      <c r="A1532" s="3" t="s">
        <v>198</v>
      </c>
      <c r="B1532" s="3" t="s">
        <v>652</v>
      </c>
      <c r="C1532" s="3" t="s">
        <v>168</v>
      </c>
    </row>
    <row r="1533" spans="1:3" ht="15" x14ac:dyDescent="0.25">
      <c r="A1533" s="3" t="s">
        <v>310</v>
      </c>
      <c r="B1533" s="3" t="s">
        <v>652</v>
      </c>
      <c r="C1533" s="3" t="s">
        <v>168</v>
      </c>
    </row>
    <row r="1534" spans="1:3" ht="15" x14ac:dyDescent="0.25">
      <c r="A1534" s="3" t="s">
        <v>175</v>
      </c>
      <c r="B1534" s="3" t="s">
        <v>652</v>
      </c>
      <c r="C1534" s="3" t="s">
        <v>168</v>
      </c>
    </row>
    <row r="1535" spans="1:3" ht="15" x14ac:dyDescent="0.25">
      <c r="A1535" s="3" t="s">
        <v>108</v>
      </c>
      <c r="B1535" s="3" t="s">
        <v>652</v>
      </c>
      <c r="C1535" s="3" t="s">
        <v>168</v>
      </c>
    </row>
    <row r="1536" spans="1:3" ht="15" x14ac:dyDescent="0.25">
      <c r="A1536" s="3" t="s">
        <v>353</v>
      </c>
      <c r="B1536" s="3" t="s">
        <v>652</v>
      </c>
      <c r="C1536" s="3" t="s">
        <v>168</v>
      </c>
    </row>
    <row r="1537" spans="1:3" ht="15" x14ac:dyDescent="0.25">
      <c r="A1537" s="3" t="s">
        <v>390</v>
      </c>
      <c r="B1537" s="3" t="s">
        <v>652</v>
      </c>
      <c r="C1537" s="3" t="s">
        <v>168</v>
      </c>
    </row>
    <row r="1538" spans="1:3" ht="15" x14ac:dyDescent="0.25">
      <c r="A1538" s="3" t="s">
        <v>616</v>
      </c>
      <c r="B1538" s="3" t="s">
        <v>652</v>
      </c>
      <c r="C1538" s="3" t="s">
        <v>168</v>
      </c>
    </row>
    <row r="1539" spans="1:3" ht="15" x14ac:dyDescent="0.25">
      <c r="A1539" s="3" t="s">
        <v>62</v>
      </c>
      <c r="B1539" s="3" t="s">
        <v>652</v>
      </c>
      <c r="C1539" s="3" t="s">
        <v>168</v>
      </c>
    </row>
    <row r="1540" spans="1:3" ht="15" x14ac:dyDescent="0.25">
      <c r="A1540" s="3" t="s">
        <v>382</v>
      </c>
      <c r="B1540" s="3" t="s">
        <v>652</v>
      </c>
      <c r="C1540" s="3" t="s">
        <v>168</v>
      </c>
    </row>
    <row r="1541" spans="1:3" ht="15" x14ac:dyDescent="0.25">
      <c r="A1541" s="3" t="s">
        <v>276</v>
      </c>
      <c r="B1541" s="3" t="s">
        <v>652</v>
      </c>
      <c r="C1541" s="3" t="s">
        <v>168</v>
      </c>
    </row>
    <row r="1542" spans="1:3" ht="15" x14ac:dyDescent="0.25">
      <c r="A1542" s="3" t="s">
        <v>211</v>
      </c>
      <c r="B1542" s="3" t="s">
        <v>657</v>
      </c>
      <c r="C1542" s="3" t="s">
        <v>168</v>
      </c>
    </row>
    <row r="1543" spans="1:3" ht="15" x14ac:dyDescent="0.25">
      <c r="A1543" s="3" t="s">
        <v>238</v>
      </c>
      <c r="B1543" s="3" t="s">
        <v>657</v>
      </c>
      <c r="C1543" s="3" t="s">
        <v>168</v>
      </c>
    </row>
    <row r="1544" spans="1:3" ht="15" x14ac:dyDescent="0.25">
      <c r="A1544" s="3" t="s">
        <v>513</v>
      </c>
      <c r="B1544" s="3" t="s">
        <v>657</v>
      </c>
      <c r="C1544" s="3" t="s">
        <v>168</v>
      </c>
    </row>
    <row r="1545" spans="1:3" ht="15" x14ac:dyDescent="0.25">
      <c r="A1545" s="3" t="s">
        <v>262</v>
      </c>
      <c r="B1545" s="3" t="s">
        <v>657</v>
      </c>
      <c r="C1545" s="3" t="s">
        <v>168</v>
      </c>
    </row>
    <row r="1546" spans="1:3" ht="15" x14ac:dyDescent="0.25">
      <c r="A1546" s="3" t="s">
        <v>8</v>
      </c>
      <c r="B1546" s="3" t="s">
        <v>659</v>
      </c>
      <c r="C1546" s="3" t="s">
        <v>168</v>
      </c>
    </row>
    <row r="1547" spans="1:3" ht="15" x14ac:dyDescent="0.25">
      <c r="A1547" s="3" t="s">
        <v>10</v>
      </c>
      <c r="B1547" s="3" t="s">
        <v>659</v>
      </c>
      <c r="C1547" s="3" t="s">
        <v>168</v>
      </c>
    </row>
    <row r="1548" spans="1:3" ht="15" x14ac:dyDescent="0.25">
      <c r="A1548" s="3" t="s">
        <v>14</v>
      </c>
      <c r="B1548" s="3" t="s">
        <v>659</v>
      </c>
      <c r="C1548" s="3" t="s">
        <v>168</v>
      </c>
    </row>
    <row r="1549" spans="1:3" ht="15" x14ac:dyDescent="0.25">
      <c r="A1549" s="3" t="s">
        <v>43</v>
      </c>
      <c r="B1549" s="3" t="s">
        <v>659</v>
      </c>
      <c r="C1549" s="3" t="s">
        <v>168</v>
      </c>
    </row>
    <row r="1550" spans="1:3" ht="15" x14ac:dyDescent="0.25">
      <c r="A1550" s="3" t="s">
        <v>59</v>
      </c>
      <c r="B1550" s="3" t="s">
        <v>659</v>
      </c>
      <c r="C1550" s="3" t="s">
        <v>168</v>
      </c>
    </row>
    <row r="1551" spans="1:3" ht="15" x14ac:dyDescent="0.25">
      <c r="A1551" s="3" t="s">
        <v>72</v>
      </c>
      <c r="B1551" s="3" t="s">
        <v>659</v>
      </c>
      <c r="C1551" s="3" t="s">
        <v>168</v>
      </c>
    </row>
    <row r="1552" spans="1:3" ht="15" x14ac:dyDescent="0.25">
      <c r="A1552" s="3" t="s">
        <v>160</v>
      </c>
      <c r="B1552" s="3" t="s">
        <v>659</v>
      </c>
      <c r="C1552" s="3" t="s">
        <v>168</v>
      </c>
    </row>
    <row r="1553" spans="1:3" ht="15" x14ac:dyDescent="0.25">
      <c r="A1553" s="3" t="s">
        <v>660</v>
      </c>
      <c r="B1553" s="3" t="s">
        <v>659</v>
      </c>
      <c r="C1553" s="3" t="s">
        <v>168</v>
      </c>
    </row>
    <row r="1554" spans="1:3" ht="15" x14ac:dyDescent="0.25">
      <c r="A1554" s="3" t="s">
        <v>95</v>
      </c>
      <c r="B1554" s="3" t="s">
        <v>659</v>
      </c>
      <c r="C1554" s="3" t="s">
        <v>168</v>
      </c>
    </row>
    <row r="1555" spans="1:3" ht="15" x14ac:dyDescent="0.25">
      <c r="A1555" s="3" t="s">
        <v>98</v>
      </c>
      <c r="B1555" s="3" t="s">
        <v>659</v>
      </c>
      <c r="C1555" s="3" t="s">
        <v>168</v>
      </c>
    </row>
    <row r="1556" spans="1:3" ht="15" x14ac:dyDescent="0.25">
      <c r="A1556" s="3" t="s">
        <v>99</v>
      </c>
      <c r="B1556" s="3" t="s">
        <v>659</v>
      </c>
      <c r="C1556" s="3" t="s">
        <v>168</v>
      </c>
    </row>
    <row r="1557" spans="1:3" ht="15" x14ac:dyDescent="0.25">
      <c r="A1557" s="3" t="s">
        <v>100</v>
      </c>
      <c r="B1557" s="3" t="s">
        <v>659</v>
      </c>
      <c r="C1557" s="3" t="s">
        <v>168</v>
      </c>
    </row>
    <row r="1558" spans="1:3" ht="15" x14ac:dyDescent="0.25">
      <c r="A1558" s="3" t="s">
        <v>18</v>
      </c>
      <c r="B1558" s="3" t="s">
        <v>662</v>
      </c>
      <c r="C1558" s="3" t="s">
        <v>168</v>
      </c>
    </row>
    <row r="1559" spans="1:3" ht="15" x14ac:dyDescent="0.25">
      <c r="A1559" s="3" t="s">
        <v>22</v>
      </c>
      <c r="B1559" s="3" t="s">
        <v>662</v>
      </c>
      <c r="C1559" s="3" t="s">
        <v>168</v>
      </c>
    </row>
    <row r="1560" spans="1:3" ht="15" x14ac:dyDescent="0.25">
      <c r="A1560" s="3" t="s">
        <v>27</v>
      </c>
      <c r="B1560" s="3" t="s">
        <v>662</v>
      </c>
      <c r="C1560" s="3" t="s">
        <v>168</v>
      </c>
    </row>
    <row r="1561" spans="1:3" ht="15" x14ac:dyDescent="0.25">
      <c r="A1561" s="3" t="s">
        <v>379</v>
      </c>
      <c r="B1561" s="3" t="s">
        <v>662</v>
      </c>
      <c r="C1561" s="3" t="s">
        <v>168</v>
      </c>
    </row>
    <row r="1562" spans="1:3" ht="15" x14ac:dyDescent="0.25">
      <c r="A1562" s="3" t="s">
        <v>46</v>
      </c>
      <c r="B1562" s="3" t="s">
        <v>662</v>
      </c>
      <c r="C1562" s="3" t="s">
        <v>168</v>
      </c>
    </row>
    <row r="1563" spans="1:3" ht="15" x14ac:dyDescent="0.25">
      <c r="A1563" s="3" t="s">
        <v>49</v>
      </c>
      <c r="B1563" s="3" t="s">
        <v>662</v>
      </c>
      <c r="C1563" s="3" t="s">
        <v>168</v>
      </c>
    </row>
    <row r="1564" spans="1:3" ht="15" x14ac:dyDescent="0.25">
      <c r="A1564" s="3" t="s">
        <v>52</v>
      </c>
      <c r="B1564" s="3" t="s">
        <v>662</v>
      </c>
      <c r="C1564" s="3" t="s">
        <v>168</v>
      </c>
    </row>
    <row r="1565" spans="1:3" ht="15" x14ac:dyDescent="0.25">
      <c r="A1565" s="3" t="s">
        <v>62</v>
      </c>
      <c r="B1565" s="3" t="s">
        <v>662</v>
      </c>
      <c r="C1565" s="3" t="s">
        <v>168</v>
      </c>
    </row>
    <row r="1566" spans="1:3" ht="15" x14ac:dyDescent="0.25">
      <c r="A1566" s="3" t="s">
        <v>67</v>
      </c>
      <c r="B1566" s="3" t="s">
        <v>662</v>
      </c>
      <c r="C1566" s="3" t="s">
        <v>168</v>
      </c>
    </row>
    <row r="1567" spans="1:3" ht="15" x14ac:dyDescent="0.25">
      <c r="A1567" s="3" t="s">
        <v>70</v>
      </c>
      <c r="B1567" s="3" t="s">
        <v>662</v>
      </c>
      <c r="C1567" s="3" t="s">
        <v>168</v>
      </c>
    </row>
    <row r="1568" spans="1:3" ht="15" x14ac:dyDescent="0.25">
      <c r="A1568" s="3" t="s">
        <v>75</v>
      </c>
      <c r="B1568" s="3" t="s">
        <v>662</v>
      </c>
      <c r="C1568" s="3" t="s">
        <v>168</v>
      </c>
    </row>
    <row r="1569" spans="1:3" ht="15" x14ac:dyDescent="0.25">
      <c r="A1569" s="3" t="s">
        <v>101</v>
      </c>
      <c r="B1569" s="3" t="s">
        <v>662</v>
      </c>
      <c r="C1569" s="3" t="s">
        <v>168</v>
      </c>
    </row>
    <row r="1570" spans="1:3" ht="15" x14ac:dyDescent="0.25">
      <c r="A1570" s="3" t="s">
        <v>285</v>
      </c>
      <c r="B1570" s="3" t="s">
        <v>664</v>
      </c>
      <c r="C1570" s="3" t="s">
        <v>168</v>
      </c>
    </row>
    <row r="1571" spans="1:3" ht="15" x14ac:dyDescent="0.25">
      <c r="A1571" s="3" t="s">
        <v>410</v>
      </c>
      <c r="B1571" s="3" t="s">
        <v>664</v>
      </c>
      <c r="C1571" s="3" t="s">
        <v>168</v>
      </c>
    </row>
    <row r="1572" spans="1:3" ht="15" x14ac:dyDescent="0.25">
      <c r="A1572" s="3" t="s">
        <v>12</v>
      </c>
      <c r="B1572" s="3" t="s">
        <v>664</v>
      </c>
      <c r="C1572" s="3" t="s">
        <v>168</v>
      </c>
    </row>
    <row r="1573" spans="1:3" ht="15" x14ac:dyDescent="0.25">
      <c r="A1573" s="3" t="s">
        <v>658</v>
      </c>
      <c r="B1573" s="3" t="s">
        <v>664</v>
      </c>
      <c r="C1573" s="3" t="s">
        <v>168</v>
      </c>
    </row>
    <row r="1574" spans="1:3" ht="15" x14ac:dyDescent="0.25">
      <c r="A1574" s="3" t="s">
        <v>296</v>
      </c>
      <c r="B1574" s="3" t="s">
        <v>664</v>
      </c>
      <c r="C1574" s="3" t="s">
        <v>168</v>
      </c>
    </row>
    <row r="1575" spans="1:3" ht="15" x14ac:dyDescent="0.25">
      <c r="A1575" s="3" t="s">
        <v>169</v>
      </c>
      <c r="B1575" s="3" t="s">
        <v>664</v>
      </c>
      <c r="C1575" s="3" t="s">
        <v>168</v>
      </c>
    </row>
    <row r="1576" spans="1:3" ht="15" x14ac:dyDescent="0.25">
      <c r="A1576" s="3" t="s">
        <v>249</v>
      </c>
      <c r="B1576" s="3" t="s">
        <v>664</v>
      </c>
      <c r="C1576" s="3" t="s">
        <v>168</v>
      </c>
    </row>
    <row r="1577" spans="1:3" ht="15" x14ac:dyDescent="0.25">
      <c r="A1577" s="3" t="s">
        <v>174</v>
      </c>
      <c r="B1577" s="3" t="s">
        <v>664</v>
      </c>
      <c r="C1577" s="3" t="s">
        <v>168</v>
      </c>
    </row>
    <row r="1578" spans="1:3" ht="15" x14ac:dyDescent="0.25">
      <c r="A1578" s="3" t="s">
        <v>419</v>
      </c>
      <c r="B1578" s="3" t="s">
        <v>664</v>
      </c>
      <c r="C1578" s="3" t="s">
        <v>168</v>
      </c>
    </row>
    <row r="1579" spans="1:3" ht="15" x14ac:dyDescent="0.25">
      <c r="A1579" s="3" t="s">
        <v>632</v>
      </c>
      <c r="B1579" s="3" t="s">
        <v>664</v>
      </c>
      <c r="C1579" s="3" t="s">
        <v>168</v>
      </c>
    </row>
    <row r="1580" spans="1:3" ht="15" x14ac:dyDescent="0.25">
      <c r="A1580" s="3" t="s">
        <v>350</v>
      </c>
      <c r="B1580" s="3" t="s">
        <v>666</v>
      </c>
      <c r="C1580" s="3" t="s">
        <v>168</v>
      </c>
    </row>
    <row r="1581" spans="1:3" ht="15" x14ac:dyDescent="0.25">
      <c r="A1581" s="3" t="s">
        <v>667</v>
      </c>
      <c r="B1581" s="3" t="s">
        <v>666</v>
      </c>
      <c r="C1581" s="3" t="s">
        <v>168</v>
      </c>
    </row>
    <row r="1582" spans="1:3" ht="15" x14ac:dyDescent="0.25">
      <c r="A1582" s="3" t="s">
        <v>85</v>
      </c>
      <c r="B1582" s="3" t="s">
        <v>666</v>
      </c>
      <c r="C1582" s="3" t="s">
        <v>168</v>
      </c>
    </row>
    <row r="1583" spans="1:3" ht="15" x14ac:dyDescent="0.25">
      <c r="A1583" s="3" t="s">
        <v>88</v>
      </c>
      <c r="B1583" s="3" t="s">
        <v>666</v>
      </c>
      <c r="C1583" s="3" t="s">
        <v>168</v>
      </c>
    </row>
    <row r="1584" spans="1:3" ht="15" x14ac:dyDescent="0.25">
      <c r="A1584" s="3" t="s">
        <v>94</v>
      </c>
      <c r="B1584" s="3" t="s">
        <v>666</v>
      </c>
      <c r="C1584" s="3" t="s">
        <v>168</v>
      </c>
    </row>
    <row r="1585" spans="1:3" ht="15" x14ac:dyDescent="0.25">
      <c r="A1585" s="3" t="s">
        <v>534</v>
      </c>
      <c r="B1585" s="3" t="s">
        <v>666</v>
      </c>
      <c r="C1585" s="3" t="s">
        <v>168</v>
      </c>
    </row>
    <row r="1586" spans="1:3" ht="15" x14ac:dyDescent="0.25">
      <c r="A1586" s="3" t="s">
        <v>271</v>
      </c>
      <c r="B1586" s="3" t="s">
        <v>666</v>
      </c>
      <c r="C1586" s="3" t="s">
        <v>168</v>
      </c>
    </row>
    <row r="1587" spans="1:3" ht="15" x14ac:dyDescent="0.25">
      <c r="A1587" s="3" t="s">
        <v>328</v>
      </c>
      <c r="B1587" s="3" t="s">
        <v>666</v>
      </c>
      <c r="C1587" s="3" t="s">
        <v>168</v>
      </c>
    </row>
    <row r="1588" spans="1:3" ht="15" x14ac:dyDescent="0.25">
      <c r="A1588" s="3" t="s">
        <v>204</v>
      </c>
      <c r="B1588" s="3" t="s">
        <v>666</v>
      </c>
      <c r="C1588" s="3" t="s">
        <v>168</v>
      </c>
    </row>
    <row r="1589" spans="1:3" ht="15" x14ac:dyDescent="0.25">
      <c r="A1589" s="3" t="s">
        <v>145</v>
      </c>
      <c r="B1589" s="3" t="s">
        <v>666</v>
      </c>
      <c r="C1589" s="3" t="s">
        <v>168</v>
      </c>
    </row>
    <row r="1590" spans="1:3" ht="15" x14ac:dyDescent="0.25">
      <c r="A1590" s="3" t="s">
        <v>102</v>
      </c>
      <c r="B1590" s="3" t="s">
        <v>666</v>
      </c>
      <c r="C1590" s="3" t="s">
        <v>168</v>
      </c>
    </row>
    <row r="1591" spans="1:3" ht="15" x14ac:dyDescent="0.25">
      <c r="A1591" s="3" t="s">
        <v>13</v>
      </c>
      <c r="B1591" s="3" t="s">
        <v>668</v>
      </c>
      <c r="C1591" s="3" t="s">
        <v>168</v>
      </c>
    </row>
    <row r="1592" spans="1:3" ht="15" x14ac:dyDescent="0.25">
      <c r="A1592" s="3" t="s">
        <v>289</v>
      </c>
      <c r="B1592" s="3" t="s">
        <v>668</v>
      </c>
      <c r="C1592" s="3" t="s">
        <v>168</v>
      </c>
    </row>
    <row r="1593" spans="1:3" ht="15" x14ac:dyDescent="0.25">
      <c r="A1593" s="3" t="s">
        <v>301</v>
      </c>
      <c r="B1593" s="3" t="s">
        <v>668</v>
      </c>
      <c r="C1593" s="3" t="s">
        <v>168</v>
      </c>
    </row>
    <row r="1594" spans="1:3" ht="15" x14ac:dyDescent="0.25">
      <c r="A1594" s="3" t="s">
        <v>610</v>
      </c>
      <c r="B1594" s="3" t="s">
        <v>668</v>
      </c>
      <c r="C1594" s="3" t="s">
        <v>168</v>
      </c>
    </row>
    <row r="1595" spans="1:3" ht="15" x14ac:dyDescent="0.25">
      <c r="A1595" s="3" t="s">
        <v>154</v>
      </c>
      <c r="B1595" s="3" t="s">
        <v>668</v>
      </c>
      <c r="C1595" s="3" t="s">
        <v>168</v>
      </c>
    </row>
    <row r="1596" spans="1:3" ht="15" x14ac:dyDescent="0.25">
      <c r="A1596" s="3" t="s">
        <v>282</v>
      </c>
      <c r="B1596" s="3" t="s">
        <v>668</v>
      </c>
      <c r="C1596" s="3" t="s">
        <v>168</v>
      </c>
    </row>
    <row r="1597" spans="1:3" ht="15" x14ac:dyDescent="0.25">
      <c r="A1597" s="3" t="s">
        <v>275</v>
      </c>
      <c r="B1597" s="3" t="s">
        <v>668</v>
      </c>
      <c r="C1597" s="3" t="s">
        <v>168</v>
      </c>
    </row>
    <row r="1598" spans="1:3" ht="15" x14ac:dyDescent="0.25">
      <c r="A1598" s="3" t="s">
        <v>314</v>
      </c>
      <c r="B1598" s="3" t="s">
        <v>670</v>
      </c>
      <c r="C1598" s="3" t="s">
        <v>168</v>
      </c>
    </row>
    <row r="1599" spans="1:3" ht="15" x14ac:dyDescent="0.25">
      <c r="A1599" s="3" t="s">
        <v>671</v>
      </c>
      <c r="B1599" s="3" t="s">
        <v>672</v>
      </c>
      <c r="C1599" s="3" t="s">
        <v>168</v>
      </c>
    </row>
    <row r="1600" spans="1:3" ht="15" x14ac:dyDescent="0.25">
      <c r="A1600" s="3" t="s">
        <v>304</v>
      </c>
      <c r="B1600" s="3" t="s">
        <v>672</v>
      </c>
      <c r="C1600" s="3" t="s">
        <v>168</v>
      </c>
    </row>
    <row r="1601" spans="1:3" ht="15" x14ac:dyDescent="0.25">
      <c r="A1601" s="3" t="s">
        <v>314</v>
      </c>
      <c r="B1601" s="3" t="s">
        <v>672</v>
      </c>
      <c r="C1601" s="3" t="s">
        <v>168</v>
      </c>
    </row>
    <row r="1602" spans="1:3" ht="15" x14ac:dyDescent="0.25">
      <c r="A1602" s="3" t="s">
        <v>611</v>
      </c>
      <c r="B1602" s="3" t="s">
        <v>672</v>
      </c>
      <c r="C1602" s="3" t="s">
        <v>168</v>
      </c>
    </row>
    <row r="1603" spans="1:3" ht="15" x14ac:dyDescent="0.25">
      <c r="A1603" s="3" t="s">
        <v>632</v>
      </c>
      <c r="B1603" s="3" t="s">
        <v>672</v>
      </c>
      <c r="C1603" s="3" t="s">
        <v>168</v>
      </c>
    </row>
    <row r="1604" spans="1:3" ht="15" x14ac:dyDescent="0.25">
      <c r="A1604" s="3" t="s">
        <v>275</v>
      </c>
      <c r="B1604" s="3" t="s">
        <v>672</v>
      </c>
      <c r="C1604" s="3" t="s">
        <v>168</v>
      </c>
    </row>
    <row r="1605" spans="1:3" ht="15" x14ac:dyDescent="0.25">
      <c r="A1605" s="3" t="s">
        <v>646</v>
      </c>
      <c r="B1605" s="3" t="s">
        <v>674</v>
      </c>
      <c r="C1605" s="3" t="s">
        <v>168</v>
      </c>
    </row>
    <row r="1606" spans="1:3" ht="15" x14ac:dyDescent="0.25">
      <c r="A1606" s="3" t="s">
        <v>671</v>
      </c>
      <c r="B1606" s="3" t="s">
        <v>674</v>
      </c>
      <c r="C1606" s="3" t="s">
        <v>168</v>
      </c>
    </row>
    <row r="1607" spans="1:3" ht="15" x14ac:dyDescent="0.25">
      <c r="A1607" s="3" t="s">
        <v>284</v>
      </c>
      <c r="B1607" s="3" t="s">
        <v>674</v>
      </c>
      <c r="C1607" s="3" t="s">
        <v>168</v>
      </c>
    </row>
    <row r="1608" spans="1:3" ht="15" x14ac:dyDescent="0.25">
      <c r="A1608" s="3" t="s">
        <v>20</v>
      </c>
      <c r="B1608" s="3" t="s">
        <v>674</v>
      </c>
      <c r="C1608" s="3" t="s">
        <v>168</v>
      </c>
    </row>
    <row r="1609" spans="1:3" ht="15" x14ac:dyDescent="0.25">
      <c r="A1609" s="3" t="s">
        <v>31</v>
      </c>
      <c r="B1609" s="3" t="s">
        <v>674</v>
      </c>
      <c r="C1609" s="3" t="s">
        <v>168</v>
      </c>
    </row>
    <row r="1610" spans="1:3" ht="15" x14ac:dyDescent="0.25">
      <c r="A1610" s="3" t="s">
        <v>137</v>
      </c>
      <c r="B1610" s="3" t="s">
        <v>674</v>
      </c>
      <c r="C1610" s="3" t="s">
        <v>168</v>
      </c>
    </row>
    <row r="1611" spans="1:3" ht="15" x14ac:dyDescent="0.25">
      <c r="A1611" s="3" t="s">
        <v>221</v>
      </c>
      <c r="B1611" s="3" t="s">
        <v>674</v>
      </c>
      <c r="C1611" s="3" t="s">
        <v>168</v>
      </c>
    </row>
    <row r="1612" spans="1:3" ht="15" x14ac:dyDescent="0.25">
      <c r="A1612" s="3" t="s">
        <v>317</v>
      </c>
      <c r="B1612" s="3" t="s">
        <v>674</v>
      </c>
      <c r="C1612" s="3" t="s">
        <v>168</v>
      </c>
    </row>
    <row r="1613" spans="1:3" ht="15" x14ac:dyDescent="0.25">
      <c r="A1613" s="3" t="s">
        <v>327</v>
      </c>
      <c r="B1613" s="3" t="s">
        <v>674</v>
      </c>
      <c r="C1613" s="3" t="s">
        <v>168</v>
      </c>
    </row>
    <row r="1614" spans="1:3" ht="15" x14ac:dyDescent="0.25">
      <c r="A1614" s="3" t="s">
        <v>8</v>
      </c>
      <c r="B1614" s="3" t="s">
        <v>675</v>
      </c>
      <c r="C1614" s="3" t="s">
        <v>168</v>
      </c>
    </row>
    <row r="1615" spans="1:3" ht="15" x14ac:dyDescent="0.25">
      <c r="A1615" s="3" t="s">
        <v>127</v>
      </c>
      <c r="B1615" s="3" t="s">
        <v>675</v>
      </c>
      <c r="C1615" s="3" t="s">
        <v>168</v>
      </c>
    </row>
    <row r="1616" spans="1:3" ht="15" x14ac:dyDescent="0.25">
      <c r="A1616" s="3" t="s">
        <v>676</v>
      </c>
      <c r="B1616" s="3" t="s">
        <v>675</v>
      </c>
      <c r="C1616" s="3" t="s">
        <v>168</v>
      </c>
    </row>
    <row r="1617" spans="1:3" ht="15" x14ac:dyDescent="0.25">
      <c r="A1617" s="3" t="s">
        <v>243</v>
      </c>
      <c r="B1617" s="3" t="s">
        <v>675</v>
      </c>
      <c r="C1617" s="3" t="s">
        <v>168</v>
      </c>
    </row>
    <row r="1618" spans="1:3" ht="15" x14ac:dyDescent="0.25">
      <c r="A1618" s="3" t="s">
        <v>663</v>
      </c>
      <c r="B1618" s="3" t="s">
        <v>675</v>
      </c>
      <c r="C1618" s="3" t="s">
        <v>168</v>
      </c>
    </row>
    <row r="1619" spans="1:3" ht="15" x14ac:dyDescent="0.25">
      <c r="A1619" s="3" t="s">
        <v>313</v>
      </c>
      <c r="B1619" s="3" t="s">
        <v>675</v>
      </c>
      <c r="C1619" s="3" t="s">
        <v>168</v>
      </c>
    </row>
    <row r="1620" spans="1:3" ht="15" x14ac:dyDescent="0.25">
      <c r="A1620" s="3" t="s">
        <v>417</v>
      </c>
      <c r="B1620" s="3" t="s">
        <v>675</v>
      </c>
      <c r="C1620" s="3" t="s">
        <v>168</v>
      </c>
    </row>
    <row r="1621" spans="1:3" ht="15" x14ac:dyDescent="0.25">
      <c r="A1621" s="3" t="s">
        <v>154</v>
      </c>
      <c r="B1621" s="3" t="s">
        <v>675</v>
      </c>
      <c r="C1621" s="3" t="s">
        <v>168</v>
      </c>
    </row>
    <row r="1622" spans="1:3" ht="15" x14ac:dyDescent="0.25">
      <c r="A1622" s="3" t="s">
        <v>501</v>
      </c>
      <c r="B1622" s="3" t="s">
        <v>675</v>
      </c>
      <c r="C1622" s="3" t="s">
        <v>168</v>
      </c>
    </row>
    <row r="1623" spans="1:3" ht="15" x14ac:dyDescent="0.25">
      <c r="A1623" s="3" t="s">
        <v>269</v>
      </c>
      <c r="B1623" s="3" t="s">
        <v>675</v>
      </c>
      <c r="C1623" s="3" t="s">
        <v>168</v>
      </c>
    </row>
    <row r="1624" spans="1:3" ht="15" x14ac:dyDescent="0.25">
      <c r="A1624" s="3" t="s">
        <v>161</v>
      </c>
      <c r="B1624" s="3" t="s">
        <v>675</v>
      </c>
      <c r="C1624" s="3" t="s">
        <v>168</v>
      </c>
    </row>
    <row r="1625" spans="1:3" ht="15" x14ac:dyDescent="0.25">
      <c r="A1625" s="3" t="s">
        <v>302</v>
      </c>
      <c r="B1625" s="3" t="s">
        <v>678</v>
      </c>
      <c r="C1625" s="3" t="s">
        <v>168</v>
      </c>
    </row>
    <row r="1626" spans="1:3" ht="15" x14ac:dyDescent="0.25">
      <c r="A1626" s="3" t="s">
        <v>253</v>
      </c>
      <c r="B1626" s="3" t="s">
        <v>678</v>
      </c>
      <c r="C1626" s="3" t="s">
        <v>168</v>
      </c>
    </row>
    <row r="1627" spans="1:3" ht="15" x14ac:dyDescent="0.25">
      <c r="A1627" s="3" t="s">
        <v>221</v>
      </c>
      <c r="B1627" s="3" t="s">
        <v>678</v>
      </c>
      <c r="C1627" s="3" t="s">
        <v>168</v>
      </c>
    </row>
    <row r="1628" spans="1:3" ht="15" x14ac:dyDescent="0.25">
      <c r="A1628" s="3" t="s">
        <v>355</v>
      </c>
      <c r="B1628" s="3" t="s">
        <v>678</v>
      </c>
      <c r="C1628" s="3" t="s">
        <v>168</v>
      </c>
    </row>
    <row r="1629" spans="1:3" ht="15" x14ac:dyDescent="0.25">
      <c r="A1629" s="3" t="s">
        <v>368</v>
      </c>
      <c r="B1629" s="3" t="s">
        <v>678</v>
      </c>
      <c r="C1629" s="3" t="s">
        <v>168</v>
      </c>
    </row>
    <row r="1630" spans="1:3" ht="15" x14ac:dyDescent="0.25">
      <c r="A1630" s="3" t="s">
        <v>539</v>
      </c>
      <c r="B1630" s="3" t="s">
        <v>678</v>
      </c>
      <c r="C1630" s="3" t="s">
        <v>168</v>
      </c>
    </row>
    <row r="1631" spans="1:3" ht="15" x14ac:dyDescent="0.25">
      <c r="A1631" s="3" t="s">
        <v>210</v>
      </c>
      <c r="B1631" s="3" t="s">
        <v>654</v>
      </c>
      <c r="C1631" s="3" t="s">
        <v>168</v>
      </c>
    </row>
    <row r="1632" spans="1:3" ht="15" x14ac:dyDescent="0.25">
      <c r="A1632" s="3" t="s">
        <v>294</v>
      </c>
      <c r="B1632" s="3" t="s">
        <v>654</v>
      </c>
      <c r="C1632" s="3" t="s">
        <v>168</v>
      </c>
    </row>
    <row r="1633" spans="1:3" ht="15" x14ac:dyDescent="0.25">
      <c r="A1633" s="3" t="s">
        <v>295</v>
      </c>
      <c r="B1633" s="3" t="s">
        <v>654</v>
      </c>
      <c r="C1633" s="3" t="s">
        <v>168</v>
      </c>
    </row>
    <row r="1634" spans="1:3" ht="15" x14ac:dyDescent="0.25">
      <c r="A1634" s="3" t="s">
        <v>20</v>
      </c>
      <c r="B1634" s="3" t="s">
        <v>654</v>
      </c>
      <c r="C1634" s="3" t="s">
        <v>168</v>
      </c>
    </row>
    <row r="1635" spans="1:3" ht="15" x14ac:dyDescent="0.25">
      <c r="A1635" s="3" t="s">
        <v>297</v>
      </c>
      <c r="B1635" s="3" t="s">
        <v>654</v>
      </c>
      <c r="C1635" s="3" t="s">
        <v>168</v>
      </c>
    </row>
    <row r="1636" spans="1:3" ht="15" x14ac:dyDescent="0.25">
      <c r="A1636" s="3" t="s">
        <v>172</v>
      </c>
      <c r="B1636" s="3" t="s">
        <v>654</v>
      </c>
      <c r="C1636" s="3" t="s">
        <v>168</v>
      </c>
    </row>
    <row r="1637" spans="1:3" ht="15" x14ac:dyDescent="0.25">
      <c r="A1637" s="3" t="s">
        <v>193</v>
      </c>
      <c r="B1637" s="3" t="s">
        <v>654</v>
      </c>
      <c r="C1637" s="3" t="s">
        <v>168</v>
      </c>
    </row>
    <row r="1638" spans="1:3" ht="15" x14ac:dyDescent="0.25">
      <c r="A1638" s="3" t="s">
        <v>655</v>
      </c>
      <c r="B1638" s="3" t="s">
        <v>654</v>
      </c>
      <c r="C1638" s="3" t="s">
        <v>168</v>
      </c>
    </row>
    <row r="1639" spans="1:3" ht="15" x14ac:dyDescent="0.25">
      <c r="A1639" s="3" t="s">
        <v>254</v>
      </c>
      <c r="B1639" s="3" t="s">
        <v>654</v>
      </c>
      <c r="C1639" s="3" t="s">
        <v>168</v>
      </c>
    </row>
    <row r="1640" spans="1:3" ht="15" x14ac:dyDescent="0.25">
      <c r="A1640" s="3" t="s">
        <v>310</v>
      </c>
      <c r="B1640" s="3" t="s">
        <v>654</v>
      </c>
      <c r="C1640" s="3" t="s">
        <v>168</v>
      </c>
    </row>
    <row r="1641" spans="1:3" ht="15" x14ac:dyDescent="0.25">
      <c r="A1641" s="3" t="s">
        <v>316</v>
      </c>
      <c r="B1641" s="3" t="s">
        <v>654</v>
      </c>
      <c r="C1641" s="3" t="s">
        <v>168</v>
      </c>
    </row>
    <row r="1642" spans="1:3" ht="15" x14ac:dyDescent="0.25">
      <c r="A1642" s="3" t="s">
        <v>317</v>
      </c>
      <c r="B1642" s="3" t="s">
        <v>654</v>
      </c>
      <c r="C1642" s="3" t="s">
        <v>168</v>
      </c>
    </row>
    <row r="1643" spans="1:3" ht="15" x14ac:dyDescent="0.25">
      <c r="A1643" s="3" t="s">
        <v>353</v>
      </c>
      <c r="B1643" s="3" t="s">
        <v>654</v>
      </c>
      <c r="C1643" s="3" t="s">
        <v>168</v>
      </c>
    </row>
    <row r="1644" spans="1:3" ht="15" x14ac:dyDescent="0.25">
      <c r="A1644" s="3" t="s">
        <v>277</v>
      </c>
      <c r="B1644" s="3" t="s">
        <v>654</v>
      </c>
      <c r="C1644" s="3" t="s">
        <v>168</v>
      </c>
    </row>
    <row r="1645" spans="1:3" ht="15" x14ac:dyDescent="0.25">
      <c r="A1645" s="3" t="s">
        <v>614</v>
      </c>
      <c r="B1645" s="3" t="s">
        <v>647</v>
      </c>
      <c r="C1645" s="3" t="s">
        <v>168</v>
      </c>
    </row>
    <row r="1646" spans="1:3" ht="15" x14ac:dyDescent="0.25">
      <c r="A1646" s="3" t="s">
        <v>380</v>
      </c>
      <c r="B1646" s="3" t="s">
        <v>647</v>
      </c>
      <c r="C1646" s="3" t="s">
        <v>168</v>
      </c>
    </row>
    <row r="1647" spans="1:3" ht="15" x14ac:dyDescent="0.25">
      <c r="A1647" s="3" t="s">
        <v>97</v>
      </c>
      <c r="B1647" s="3" t="s">
        <v>647</v>
      </c>
      <c r="C1647" s="3" t="s">
        <v>168</v>
      </c>
    </row>
    <row r="1648" spans="1:3" ht="15" x14ac:dyDescent="0.25">
      <c r="A1648" s="3" t="s">
        <v>98</v>
      </c>
      <c r="B1648" s="3" t="s">
        <v>647</v>
      </c>
      <c r="C1648" s="3" t="s">
        <v>168</v>
      </c>
    </row>
    <row r="1649" spans="1:3" ht="15" x14ac:dyDescent="0.25">
      <c r="A1649" s="3" t="s">
        <v>219</v>
      </c>
      <c r="B1649" s="3" t="s">
        <v>636</v>
      </c>
      <c r="C1649" s="3" t="s">
        <v>168</v>
      </c>
    </row>
    <row r="1650" spans="1:3" ht="15" x14ac:dyDescent="0.25">
      <c r="A1650" s="3" t="s">
        <v>137</v>
      </c>
      <c r="B1650" s="3" t="s">
        <v>636</v>
      </c>
      <c r="C1650" s="3" t="s">
        <v>168</v>
      </c>
    </row>
    <row r="1651" spans="1:3" ht="15" x14ac:dyDescent="0.25">
      <c r="A1651" s="3" t="s">
        <v>340</v>
      </c>
      <c r="B1651" s="3" t="s">
        <v>636</v>
      </c>
      <c r="C1651" s="3" t="s">
        <v>168</v>
      </c>
    </row>
    <row r="1652" spans="1:3" ht="15" x14ac:dyDescent="0.25">
      <c r="A1652" s="3" t="s">
        <v>300</v>
      </c>
      <c r="B1652" s="3" t="s">
        <v>636</v>
      </c>
      <c r="C1652" s="3" t="s">
        <v>168</v>
      </c>
    </row>
    <row r="1653" spans="1:3" ht="15" x14ac:dyDescent="0.25">
      <c r="A1653" s="3" t="s">
        <v>261</v>
      </c>
      <c r="B1653" s="3" t="s">
        <v>636</v>
      </c>
      <c r="C1653" s="3" t="s">
        <v>168</v>
      </c>
    </row>
    <row r="1654" spans="1:3" ht="15" x14ac:dyDescent="0.25">
      <c r="A1654" s="3" t="s">
        <v>64</v>
      </c>
      <c r="B1654" s="3" t="s">
        <v>636</v>
      </c>
      <c r="C1654" s="3" t="s">
        <v>168</v>
      </c>
    </row>
    <row r="1655" spans="1:3" ht="15" x14ac:dyDescent="0.25">
      <c r="A1655" s="3" t="s">
        <v>264</v>
      </c>
      <c r="B1655" s="3" t="s">
        <v>636</v>
      </c>
      <c r="C1655" s="3" t="s">
        <v>168</v>
      </c>
    </row>
    <row r="1656" spans="1:3" ht="15" x14ac:dyDescent="0.25">
      <c r="A1656" s="3" t="s">
        <v>343</v>
      </c>
      <c r="B1656" s="3" t="s">
        <v>636</v>
      </c>
      <c r="C1656" s="3" t="s">
        <v>168</v>
      </c>
    </row>
    <row r="1657" spans="1:3" ht="15" x14ac:dyDescent="0.25">
      <c r="A1657" s="3" t="s">
        <v>323</v>
      </c>
      <c r="B1657" s="3" t="s">
        <v>636</v>
      </c>
      <c r="C1657" s="3" t="s">
        <v>168</v>
      </c>
    </row>
    <row r="1658" spans="1:3" ht="15" x14ac:dyDescent="0.25">
      <c r="A1658" s="3" t="s">
        <v>228</v>
      </c>
      <c r="B1658" s="3" t="s">
        <v>636</v>
      </c>
      <c r="C1658" s="3" t="s">
        <v>168</v>
      </c>
    </row>
    <row r="1659" spans="1:3" ht="15" x14ac:dyDescent="0.25">
      <c r="A1659" s="3" t="s">
        <v>281</v>
      </c>
      <c r="B1659" s="3" t="s">
        <v>617</v>
      </c>
      <c r="C1659" s="3" t="s">
        <v>168</v>
      </c>
    </row>
    <row r="1660" spans="1:3" ht="15" x14ac:dyDescent="0.25">
      <c r="A1660" s="3" t="s">
        <v>284</v>
      </c>
      <c r="B1660" s="3" t="s">
        <v>617</v>
      </c>
      <c r="C1660" s="3" t="s">
        <v>168</v>
      </c>
    </row>
    <row r="1661" spans="1:3" ht="15" x14ac:dyDescent="0.25">
      <c r="A1661" s="3" t="s">
        <v>188</v>
      </c>
      <c r="B1661" s="3" t="s">
        <v>617</v>
      </c>
      <c r="C1661" s="3" t="s">
        <v>168</v>
      </c>
    </row>
    <row r="1662" spans="1:3" ht="15" x14ac:dyDescent="0.25">
      <c r="A1662" s="3" t="s">
        <v>285</v>
      </c>
      <c r="B1662" s="3" t="s">
        <v>617</v>
      </c>
      <c r="C1662" s="3" t="s">
        <v>168</v>
      </c>
    </row>
    <row r="1663" spans="1:3" ht="15" x14ac:dyDescent="0.25">
      <c r="A1663" s="3" t="s">
        <v>410</v>
      </c>
      <c r="B1663" s="3" t="s">
        <v>617</v>
      </c>
      <c r="C1663" s="3" t="s">
        <v>168</v>
      </c>
    </row>
    <row r="1664" spans="1:3" ht="15" x14ac:dyDescent="0.25">
      <c r="A1664" s="3" t="s">
        <v>12</v>
      </c>
      <c r="B1664" s="3" t="s">
        <v>617</v>
      </c>
      <c r="C1664" s="3" t="s">
        <v>168</v>
      </c>
    </row>
    <row r="1665" spans="1:3" ht="15" x14ac:dyDescent="0.25">
      <c r="A1665" s="3" t="s">
        <v>484</v>
      </c>
      <c r="B1665" s="3" t="s">
        <v>617</v>
      </c>
      <c r="C1665" s="3" t="s">
        <v>168</v>
      </c>
    </row>
    <row r="1666" spans="1:3" ht="15" x14ac:dyDescent="0.25">
      <c r="A1666" s="3" t="s">
        <v>190</v>
      </c>
      <c r="B1666" s="3" t="s">
        <v>617</v>
      </c>
      <c r="C1666" s="3" t="s">
        <v>168</v>
      </c>
    </row>
    <row r="1667" spans="1:3" ht="15" x14ac:dyDescent="0.25">
      <c r="A1667" s="3" t="s">
        <v>533</v>
      </c>
      <c r="B1667" s="3" t="s">
        <v>617</v>
      </c>
      <c r="C1667" s="3" t="s">
        <v>168</v>
      </c>
    </row>
    <row r="1668" spans="1:3" ht="15" x14ac:dyDescent="0.25">
      <c r="A1668" s="3" t="s">
        <v>249</v>
      </c>
      <c r="B1668" s="3" t="s">
        <v>617</v>
      </c>
      <c r="C1668" s="3" t="s">
        <v>168</v>
      </c>
    </row>
    <row r="1669" spans="1:3" ht="15" x14ac:dyDescent="0.25">
      <c r="A1669" s="3" t="s">
        <v>31</v>
      </c>
      <c r="B1669" s="3" t="s">
        <v>617</v>
      </c>
      <c r="C1669" s="3" t="s">
        <v>168</v>
      </c>
    </row>
    <row r="1670" spans="1:3" ht="15" x14ac:dyDescent="0.25">
      <c r="A1670" s="3" t="s">
        <v>564</v>
      </c>
      <c r="B1670" s="3" t="s">
        <v>617</v>
      </c>
      <c r="C1670" s="3" t="s">
        <v>168</v>
      </c>
    </row>
    <row r="1671" spans="1:3" ht="15" x14ac:dyDescent="0.25">
      <c r="A1671" s="3" t="s">
        <v>449</v>
      </c>
      <c r="B1671" s="3" t="s">
        <v>617</v>
      </c>
      <c r="C1671" s="3" t="s">
        <v>168</v>
      </c>
    </row>
    <row r="1672" spans="1:3" ht="15" x14ac:dyDescent="0.25">
      <c r="A1672" s="3" t="s">
        <v>194</v>
      </c>
      <c r="B1672" s="3" t="s">
        <v>617</v>
      </c>
      <c r="C1672" s="3" t="s">
        <v>168</v>
      </c>
    </row>
    <row r="1673" spans="1:3" ht="15" x14ac:dyDescent="0.25">
      <c r="A1673" s="3" t="s">
        <v>36</v>
      </c>
      <c r="B1673" s="3" t="s">
        <v>617</v>
      </c>
      <c r="C1673" s="3" t="s">
        <v>168</v>
      </c>
    </row>
    <row r="1674" spans="1:3" ht="15" x14ac:dyDescent="0.25">
      <c r="A1674" s="3" t="s">
        <v>128</v>
      </c>
      <c r="B1674" s="3" t="s">
        <v>617</v>
      </c>
      <c r="C1674" s="3" t="s">
        <v>168</v>
      </c>
    </row>
    <row r="1675" spans="1:3" ht="15" x14ac:dyDescent="0.25">
      <c r="A1675" s="3" t="s">
        <v>313</v>
      </c>
      <c r="B1675" s="3" t="s">
        <v>617</v>
      </c>
      <c r="C1675" s="3" t="s">
        <v>168</v>
      </c>
    </row>
    <row r="1676" spans="1:3" ht="15" x14ac:dyDescent="0.25">
      <c r="A1676" s="3" t="s">
        <v>317</v>
      </c>
      <c r="B1676" s="3" t="s">
        <v>617</v>
      </c>
      <c r="C1676" s="3" t="s">
        <v>168</v>
      </c>
    </row>
    <row r="1677" spans="1:3" ht="15" x14ac:dyDescent="0.25">
      <c r="A1677" s="3" t="s">
        <v>108</v>
      </c>
      <c r="B1677" s="3" t="s">
        <v>617</v>
      </c>
      <c r="C1677" s="3" t="s">
        <v>168</v>
      </c>
    </row>
    <row r="1678" spans="1:3" ht="15" x14ac:dyDescent="0.25">
      <c r="A1678" s="3" t="s">
        <v>111</v>
      </c>
      <c r="B1678" s="3" t="s">
        <v>617</v>
      </c>
      <c r="C1678" s="3" t="s">
        <v>168</v>
      </c>
    </row>
    <row r="1679" spans="1:3" ht="15" x14ac:dyDescent="0.25">
      <c r="A1679" s="3" t="s">
        <v>321</v>
      </c>
      <c r="B1679" s="3" t="s">
        <v>617</v>
      </c>
      <c r="C1679" s="3" t="s">
        <v>168</v>
      </c>
    </row>
    <row r="1680" spans="1:3" ht="15" x14ac:dyDescent="0.25">
      <c r="A1680" s="3" t="s">
        <v>323</v>
      </c>
      <c r="B1680" s="3" t="s">
        <v>617</v>
      </c>
      <c r="C1680" s="3" t="s">
        <v>168</v>
      </c>
    </row>
    <row r="1681" spans="1:3" ht="15" x14ac:dyDescent="0.25">
      <c r="A1681" s="3" t="s">
        <v>527</v>
      </c>
      <c r="B1681" s="3" t="s">
        <v>617</v>
      </c>
      <c r="C1681" s="3" t="s">
        <v>168</v>
      </c>
    </row>
    <row r="1682" spans="1:3" ht="15" x14ac:dyDescent="0.25">
      <c r="A1682" s="3" t="s">
        <v>97</v>
      </c>
      <c r="B1682" s="3" t="s">
        <v>617</v>
      </c>
      <c r="C1682" s="3" t="s">
        <v>168</v>
      </c>
    </row>
    <row r="1683" spans="1:3" ht="15" x14ac:dyDescent="0.25">
      <c r="A1683" s="3" t="s">
        <v>163</v>
      </c>
      <c r="B1683" s="3" t="s">
        <v>617</v>
      </c>
      <c r="C1683" s="3" t="s">
        <v>168</v>
      </c>
    </row>
    <row r="1684" spans="1:3" ht="15" x14ac:dyDescent="0.25">
      <c r="A1684" s="3" t="s">
        <v>595</v>
      </c>
      <c r="B1684" s="3" t="s">
        <v>617</v>
      </c>
      <c r="C1684" s="3" t="s">
        <v>168</v>
      </c>
    </row>
    <row r="1685" spans="1:3" ht="15" x14ac:dyDescent="0.25">
      <c r="A1685" s="3" t="s">
        <v>333</v>
      </c>
      <c r="B1685" s="3" t="s">
        <v>617</v>
      </c>
      <c r="C1685" s="3" t="s">
        <v>168</v>
      </c>
    </row>
    <row r="1686" spans="1:3" ht="15" x14ac:dyDescent="0.25">
      <c r="A1686" s="3" t="s">
        <v>246</v>
      </c>
      <c r="B1686" s="3" t="s">
        <v>612</v>
      </c>
      <c r="C1686" s="3" t="s">
        <v>168</v>
      </c>
    </row>
    <row r="1687" spans="1:3" ht="15" x14ac:dyDescent="0.25">
      <c r="A1687" s="3" t="s">
        <v>260</v>
      </c>
      <c r="B1687" s="3" t="s">
        <v>612</v>
      </c>
      <c r="C1687" s="3" t="s">
        <v>168</v>
      </c>
    </row>
    <row r="1688" spans="1:3" ht="15" x14ac:dyDescent="0.25">
      <c r="A1688" s="3" t="s">
        <v>201</v>
      </c>
      <c r="B1688" s="3" t="s">
        <v>612</v>
      </c>
      <c r="C1688" s="3" t="s">
        <v>168</v>
      </c>
    </row>
    <row r="1689" spans="1:3" ht="15" x14ac:dyDescent="0.25">
      <c r="A1689" s="3" t="s">
        <v>13</v>
      </c>
      <c r="B1689" s="3" t="s">
        <v>609</v>
      </c>
      <c r="C1689" s="3" t="s">
        <v>168</v>
      </c>
    </row>
    <row r="1690" spans="1:3" ht="15" x14ac:dyDescent="0.25">
      <c r="A1690" s="3" t="s">
        <v>289</v>
      </c>
      <c r="B1690" s="3" t="s">
        <v>609</v>
      </c>
      <c r="C1690" s="3" t="s">
        <v>168</v>
      </c>
    </row>
    <row r="1691" spans="1:3" ht="15" x14ac:dyDescent="0.25">
      <c r="A1691" s="3" t="s">
        <v>296</v>
      </c>
      <c r="B1691" s="3" t="s">
        <v>609</v>
      </c>
      <c r="C1691" s="3" t="s">
        <v>168</v>
      </c>
    </row>
    <row r="1692" spans="1:3" ht="15" x14ac:dyDescent="0.25">
      <c r="A1692" s="3" t="s">
        <v>314</v>
      </c>
      <c r="B1692" s="3" t="s">
        <v>609</v>
      </c>
      <c r="C1692" s="3" t="s">
        <v>168</v>
      </c>
    </row>
    <row r="1693" spans="1:3" ht="15" x14ac:dyDescent="0.25">
      <c r="A1693" s="3" t="s">
        <v>610</v>
      </c>
      <c r="B1693" s="3" t="s">
        <v>609</v>
      </c>
      <c r="C1693" s="3" t="s">
        <v>168</v>
      </c>
    </row>
    <row r="1694" spans="1:3" ht="15" x14ac:dyDescent="0.25">
      <c r="A1694" s="3" t="s">
        <v>611</v>
      </c>
      <c r="B1694" s="3" t="s">
        <v>609</v>
      </c>
      <c r="C1694" s="3" t="s">
        <v>168</v>
      </c>
    </row>
    <row r="1695" spans="1:3" ht="15" x14ac:dyDescent="0.25">
      <c r="A1695" s="3" t="s">
        <v>180</v>
      </c>
      <c r="B1695" s="3" t="s">
        <v>609</v>
      </c>
      <c r="C1695" s="3" t="s">
        <v>168</v>
      </c>
    </row>
    <row r="1696" spans="1:3" ht="15" x14ac:dyDescent="0.25">
      <c r="A1696" s="3" t="s">
        <v>64</v>
      </c>
      <c r="B1696" s="3" t="s">
        <v>609</v>
      </c>
      <c r="C1696" s="3" t="s">
        <v>168</v>
      </c>
    </row>
    <row r="1697" spans="1:3" ht="15" x14ac:dyDescent="0.25">
      <c r="A1697" s="3" t="s">
        <v>323</v>
      </c>
      <c r="B1697" s="3" t="s">
        <v>609</v>
      </c>
      <c r="C1697" s="3" t="s">
        <v>168</v>
      </c>
    </row>
    <row r="1698" spans="1:3" ht="15" x14ac:dyDescent="0.25">
      <c r="A1698" s="3" t="s">
        <v>527</v>
      </c>
      <c r="B1698" s="3" t="s">
        <v>609</v>
      </c>
      <c r="C1698" s="3" t="s">
        <v>168</v>
      </c>
    </row>
    <row r="1699" spans="1:3" ht="15" x14ac:dyDescent="0.25">
      <c r="A1699" s="3" t="s">
        <v>266</v>
      </c>
      <c r="B1699" s="3" t="s">
        <v>609</v>
      </c>
      <c r="C1699" s="3" t="s">
        <v>168</v>
      </c>
    </row>
    <row r="1700" spans="1:3" ht="15" x14ac:dyDescent="0.25">
      <c r="A1700" s="3" t="s">
        <v>107</v>
      </c>
      <c r="B1700" s="3" t="s">
        <v>680</v>
      </c>
      <c r="C1700" s="3" t="s">
        <v>280</v>
      </c>
    </row>
    <row r="1701" spans="1:3" ht="15" x14ac:dyDescent="0.25">
      <c r="A1701" s="3" t="s">
        <v>380</v>
      </c>
      <c r="B1701" s="3" t="s">
        <v>680</v>
      </c>
      <c r="C1701" s="3" t="s">
        <v>280</v>
      </c>
    </row>
    <row r="1702" spans="1:3" ht="15" x14ac:dyDescent="0.25">
      <c r="A1702" s="3" t="s">
        <v>229</v>
      </c>
      <c r="B1702" s="3" t="s">
        <v>680</v>
      </c>
      <c r="C1702" s="3" t="s">
        <v>280</v>
      </c>
    </row>
    <row r="1703" spans="1:3" ht="15" x14ac:dyDescent="0.25">
      <c r="A1703" s="3" t="s">
        <v>256</v>
      </c>
      <c r="B1703" s="3" t="s">
        <v>680</v>
      </c>
      <c r="C1703" s="3" t="s">
        <v>280</v>
      </c>
    </row>
    <row r="1704" spans="1:3" ht="15" x14ac:dyDescent="0.25">
      <c r="A1704" s="3" t="s">
        <v>381</v>
      </c>
      <c r="B1704" s="3" t="s">
        <v>680</v>
      </c>
      <c r="C1704" s="3" t="s">
        <v>280</v>
      </c>
    </row>
    <row r="1705" spans="1:3" ht="15" x14ac:dyDescent="0.25">
      <c r="A1705" s="3" t="s">
        <v>220</v>
      </c>
      <c r="B1705" s="3" t="s">
        <v>680</v>
      </c>
      <c r="C1705" s="3" t="s">
        <v>280</v>
      </c>
    </row>
    <row r="1706" spans="1:3" ht="15" x14ac:dyDescent="0.25">
      <c r="A1706" s="3" t="s">
        <v>383</v>
      </c>
      <c r="B1706" s="3" t="s">
        <v>680</v>
      </c>
      <c r="C1706" s="3" t="s">
        <v>280</v>
      </c>
    </row>
    <row r="1707" spans="1:3" ht="15" x14ac:dyDescent="0.25">
      <c r="A1707" s="3" t="s">
        <v>331</v>
      </c>
      <c r="B1707" s="3" t="s">
        <v>680</v>
      </c>
      <c r="C1707" s="3" t="s">
        <v>280</v>
      </c>
    </row>
    <row r="1708" spans="1:3" ht="15" x14ac:dyDescent="0.25">
      <c r="A1708" s="3" t="s">
        <v>613</v>
      </c>
      <c r="B1708" s="3" t="s">
        <v>680</v>
      </c>
      <c r="C1708" s="3" t="s">
        <v>280</v>
      </c>
    </row>
    <row r="1709" spans="1:3" ht="15" x14ac:dyDescent="0.25">
      <c r="A1709" s="3" t="s">
        <v>614</v>
      </c>
      <c r="B1709" s="3" t="s">
        <v>681</v>
      </c>
      <c r="C1709" s="3" t="s">
        <v>280</v>
      </c>
    </row>
    <row r="1710" spans="1:3" ht="15" x14ac:dyDescent="0.25">
      <c r="A1710" s="3" t="s">
        <v>205</v>
      </c>
      <c r="B1710" s="3" t="s">
        <v>681</v>
      </c>
      <c r="C1710" s="3" t="s">
        <v>280</v>
      </c>
    </row>
    <row r="1711" spans="1:3" ht="15" x14ac:dyDescent="0.25">
      <c r="A1711" s="3" t="s">
        <v>233</v>
      </c>
      <c r="B1711" s="3" t="s">
        <v>681</v>
      </c>
      <c r="C1711" s="3" t="s">
        <v>280</v>
      </c>
    </row>
    <row r="1712" spans="1:3" ht="15" x14ac:dyDescent="0.25">
      <c r="A1712" s="3" t="s">
        <v>236</v>
      </c>
      <c r="B1712" s="3" t="s">
        <v>681</v>
      </c>
      <c r="C1712" s="3" t="s">
        <v>280</v>
      </c>
    </row>
    <row r="1713" spans="1:3" ht="15" x14ac:dyDescent="0.25">
      <c r="A1713" s="3" t="s">
        <v>408</v>
      </c>
      <c r="B1713" s="3" t="s">
        <v>681</v>
      </c>
      <c r="C1713" s="3" t="s">
        <v>280</v>
      </c>
    </row>
    <row r="1714" spans="1:3" ht="15" x14ac:dyDescent="0.25">
      <c r="A1714" s="3" t="s">
        <v>237</v>
      </c>
      <c r="B1714" s="3" t="s">
        <v>681</v>
      </c>
      <c r="C1714" s="3" t="s">
        <v>280</v>
      </c>
    </row>
    <row r="1715" spans="1:3" ht="15" x14ac:dyDescent="0.25">
      <c r="A1715" s="3" t="s">
        <v>185</v>
      </c>
      <c r="B1715" s="3" t="s">
        <v>681</v>
      </c>
      <c r="C1715" s="3" t="s">
        <v>280</v>
      </c>
    </row>
    <row r="1716" spans="1:3" ht="15" x14ac:dyDescent="0.25">
      <c r="A1716" s="3" t="s">
        <v>359</v>
      </c>
      <c r="B1716" s="3" t="s">
        <v>681</v>
      </c>
      <c r="C1716" s="3" t="s">
        <v>280</v>
      </c>
    </row>
    <row r="1717" spans="1:3" ht="15" x14ac:dyDescent="0.25">
      <c r="A1717" s="3" t="s">
        <v>186</v>
      </c>
      <c r="B1717" s="3" t="s">
        <v>681</v>
      </c>
      <c r="C1717" s="3" t="s">
        <v>280</v>
      </c>
    </row>
    <row r="1718" spans="1:3" ht="15" x14ac:dyDescent="0.25">
      <c r="A1718" s="3" t="s">
        <v>187</v>
      </c>
      <c r="B1718" s="3" t="s">
        <v>681</v>
      </c>
      <c r="C1718" s="3" t="s">
        <v>280</v>
      </c>
    </row>
    <row r="1719" spans="1:3" ht="15" x14ac:dyDescent="0.25">
      <c r="A1719" s="3" t="s">
        <v>258</v>
      </c>
      <c r="B1719" s="3" t="s">
        <v>681</v>
      </c>
      <c r="C1719" s="3" t="s">
        <v>280</v>
      </c>
    </row>
    <row r="1720" spans="1:3" ht="15" x14ac:dyDescent="0.25">
      <c r="A1720" s="3" t="s">
        <v>4</v>
      </c>
      <c r="B1720" s="3" t="s">
        <v>681</v>
      </c>
      <c r="C1720" s="3" t="s">
        <v>280</v>
      </c>
    </row>
    <row r="1721" spans="1:3" ht="15" x14ac:dyDescent="0.25">
      <c r="A1721" s="3" t="s">
        <v>129</v>
      </c>
      <c r="B1721" s="3" t="s">
        <v>681</v>
      </c>
      <c r="C1721" s="3" t="s">
        <v>280</v>
      </c>
    </row>
    <row r="1722" spans="1:3" ht="15" x14ac:dyDescent="0.25">
      <c r="A1722" s="3" t="s">
        <v>14</v>
      </c>
      <c r="B1722" s="3" t="s">
        <v>681</v>
      </c>
      <c r="C1722" s="3" t="s">
        <v>280</v>
      </c>
    </row>
    <row r="1723" spans="1:3" ht="15" x14ac:dyDescent="0.25">
      <c r="A1723" s="3" t="s">
        <v>374</v>
      </c>
      <c r="B1723" s="3" t="s">
        <v>681</v>
      </c>
      <c r="C1723" s="3" t="s">
        <v>280</v>
      </c>
    </row>
    <row r="1724" spans="1:3" ht="15" x14ac:dyDescent="0.25">
      <c r="A1724" s="3" t="s">
        <v>388</v>
      </c>
      <c r="B1724" s="3" t="s">
        <v>681</v>
      </c>
      <c r="C1724" s="3" t="s">
        <v>280</v>
      </c>
    </row>
    <row r="1725" spans="1:3" ht="15" x14ac:dyDescent="0.25">
      <c r="A1725" s="3" t="s">
        <v>431</v>
      </c>
      <c r="B1725" s="3" t="s">
        <v>681</v>
      </c>
      <c r="C1725" s="3" t="s">
        <v>280</v>
      </c>
    </row>
    <row r="1726" spans="1:3" ht="15" x14ac:dyDescent="0.25">
      <c r="A1726" s="3" t="s">
        <v>293</v>
      </c>
      <c r="B1726" s="3" t="s">
        <v>681</v>
      </c>
      <c r="C1726" s="3" t="s">
        <v>280</v>
      </c>
    </row>
    <row r="1727" spans="1:3" ht="15" x14ac:dyDescent="0.25">
      <c r="A1727" s="3" t="s">
        <v>239</v>
      </c>
      <c r="B1727" s="3" t="s">
        <v>681</v>
      </c>
      <c r="C1727" s="3" t="s">
        <v>280</v>
      </c>
    </row>
    <row r="1728" spans="1:3" ht="15" x14ac:dyDescent="0.25">
      <c r="A1728" s="3" t="s">
        <v>395</v>
      </c>
      <c r="B1728" s="3" t="s">
        <v>681</v>
      </c>
      <c r="C1728" s="3" t="s">
        <v>280</v>
      </c>
    </row>
    <row r="1729" spans="1:3" ht="15" x14ac:dyDescent="0.25">
      <c r="A1729" s="3" t="s">
        <v>133</v>
      </c>
      <c r="B1729" s="3" t="s">
        <v>681</v>
      </c>
      <c r="C1729" s="3" t="s">
        <v>280</v>
      </c>
    </row>
    <row r="1730" spans="1:3" ht="15" x14ac:dyDescent="0.25">
      <c r="A1730" s="3" t="s">
        <v>378</v>
      </c>
      <c r="B1730" s="3" t="s">
        <v>681</v>
      </c>
      <c r="C1730" s="3" t="s">
        <v>280</v>
      </c>
    </row>
    <row r="1731" spans="1:3" ht="15" x14ac:dyDescent="0.25">
      <c r="A1731" s="3" t="s">
        <v>18</v>
      </c>
      <c r="B1731" s="3" t="s">
        <v>681</v>
      </c>
      <c r="C1731" s="3" t="s">
        <v>280</v>
      </c>
    </row>
    <row r="1732" spans="1:3" ht="15" x14ac:dyDescent="0.25">
      <c r="A1732" s="3" t="s">
        <v>621</v>
      </c>
      <c r="B1732" s="3" t="s">
        <v>681</v>
      </c>
      <c r="C1732" s="3" t="s">
        <v>280</v>
      </c>
    </row>
    <row r="1733" spans="1:3" ht="15" x14ac:dyDescent="0.25">
      <c r="A1733" s="3" t="s">
        <v>338</v>
      </c>
      <c r="B1733" s="3" t="s">
        <v>681</v>
      </c>
      <c r="C1733" s="3" t="s">
        <v>280</v>
      </c>
    </row>
    <row r="1734" spans="1:3" ht="15" x14ac:dyDescent="0.25">
      <c r="A1734" s="3" t="s">
        <v>22</v>
      </c>
      <c r="B1734" s="3" t="s">
        <v>681</v>
      </c>
      <c r="C1734" s="3" t="s">
        <v>280</v>
      </c>
    </row>
    <row r="1735" spans="1:3" ht="15" x14ac:dyDescent="0.25">
      <c r="A1735" s="3" t="s">
        <v>242</v>
      </c>
      <c r="B1735" s="3" t="s">
        <v>681</v>
      </c>
      <c r="C1735" s="3" t="s">
        <v>280</v>
      </c>
    </row>
    <row r="1736" spans="1:3" ht="15" x14ac:dyDescent="0.25">
      <c r="A1736" s="3" t="s">
        <v>240</v>
      </c>
      <c r="B1736" s="3" t="s">
        <v>681</v>
      </c>
      <c r="C1736" s="3" t="s">
        <v>280</v>
      </c>
    </row>
    <row r="1737" spans="1:3" ht="15" x14ac:dyDescent="0.25">
      <c r="A1737" s="3" t="s">
        <v>139</v>
      </c>
      <c r="B1737" s="3" t="s">
        <v>681</v>
      </c>
      <c r="C1737" s="3" t="s">
        <v>280</v>
      </c>
    </row>
    <row r="1738" spans="1:3" ht="15" x14ac:dyDescent="0.25">
      <c r="A1738" s="3" t="s">
        <v>27</v>
      </c>
      <c r="B1738" s="3" t="s">
        <v>681</v>
      </c>
      <c r="C1738" s="3" t="s">
        <v>280</v>
      </c>
    </row>
    <row r="1739" spans="1:3" ht="15" x14ac:dyDescent="0.25">
      <c r="A1739" s="3" t="s">
        <v>541</v>
      </c>
      <c r="B1739" s="3" t="s">
        <v>681</v>
      </c>
      <c r="C1739" s="3" t="s">
        <v>280</v>
      </c>
    </row>
    <row r="1740" spans="1:3" ht="15" x14ac:dyDescent="0.25">
      <c r="A1740" s="3" t="s">
        <v>643</v>
      </c>
      <c r="B1740" s="3" t="s">
        <v>681</v>
      </c>
      <c r="C1740" s="3" t="s">
        <v>280</v>
      </c>
    </row>
    <row r="1741" spans="1:3" ht="15" x14ac:dyDescent="0.25">
      <c r="A1741" s="3" t="s">
        <v>217</v>
      </c>
      <c r="B1741" s="3" t="s">
        <v>681</v>
      </c>
      <c r="C1741" s="3" t="s">
        <v>280</v>
      </c>
    </row>
    <row r="1742" spans="1:3" ht="15" x14ac:dyDescent="0.25">
      <c r="A1742" s="3" t="s">
        <v>7</v>
      </c>
      <c r="B1742" s="3" t="s">
        <v>681</v>
      </c>
      <c r="C1742" s="3" t="s">
        <v>280</v>
      </c>
    </row>
    <row r="1743" spans="1:3" ht="15" x14ac:dyDescent="0.25">
      <c r="A1743" s="3" t="s">
        <v>251</v>
      </c>
      <c r="B1743" s="3" t="s">
        <v>681</v>
      </c>
      <c r="C1743" s="3" t="s">
        <v>280</v>
      </c>
    </row>
    <row r="1744" spans="1:3" ht="15" x14ac:dyDescent="0.25">
      <c r="A1744" s="3" t="s">
        <v>379</v>
      </c>
      <c r="B1744" s="3" t="s">
        <v>681</v>
      </c>
      <c r="C1744" s="3" t="s">
        <v>280</v>
      </c>
    </row>
    <row r="1745" spans="1:3" ht="15" x14ac:dyDescent="0.25">
      <c r="A1745" s="3" t="s">
        <v>362</v>
      </c>
      <c r="B1745" s="3" t="s">
        <v>681</v>
      </c>
      <c r="C1745" s="3" t="s">
        <v>280</v>
      </c>
    </row>
    <row r="1746" spans="1:3" ht="15" x14ac:dyDescent="0.25">
      <c r="A1746" s="3" t="s">
        <v>604</v>
      </c>
      <c r="B1746" s="3" t="s">
        <v>681</v>
      </c>
      <c r="C1746" s="3" t="s">
        <v>280</v>
      </c>
    </row>
    <row r="1747" spans="1:3" ht="15" x14ac:dyDescent="0.25">
      <c r="A1747" s="3" t="s">
        <v>107</v>
      </c>
      <c r="B1747" s="3" t="s">
        <v>681</v>
      </c>
      <c r="C1747" s="3" t="s">
        <v>280</v>
      </c>
    </row>
    <row r="1748" spans="1:3" ht="15" x14ac:dyDescent="0.25">
      <c r="A1748" s="3" t="s">
        <v>219</v>
      </c>
      <c r="B1748" s="3" t="s">
        <v>681</v>
      </c>
      <c r="C1748" s="3" t="s">
        <v>280</v>
      </c>
    </row>
    <row r="1749" spans="1:3" ht="15" x14ac:dyDescent="0.25">
      <c r="A1749" s="3" t="s">
        <v>380</v>
      </c>
      <c r="B1749" s="3" t="s">
        <v>681</v>
      </c>
      <c r="C1749" s="3" t="s">
        <v>280</v>
      </c>
    </row>
    <row r="1750" spans="1:3" ht="15" x14ac:dyDescent="0.25">
      <c r="A1750" s="3" t="s">
        <v>255</v>
      </c>
      <c r="B1750" s="3" t="s">
        <v>681</v>
      </c>
      <c r="C1750" s="3" t="s">
        <v>280</v>
      </c>
    </row>
    <row r="1751" spans="1:3" ht="15" x14ac:dyDescent="0.25">
      <c r="A1751" s="3" t="s">
        <v>196</v>
      </c>
      <c r="B1751" s="3" t="s">
        <v>681</v>
      </c>
      <c r="C1751" s="3" t="s">
        <v>280</v>
      </c>
    </row>
    <row r="1752" spans="1:3" ht="15" x14ac:dyDescent="0.25">
      <c r="A1752" s="3" t="s">
        <v>229</v>
      </c>
      <c r="B1752" s="3" t="s">
        <v>681</v>
      </c>
      <c r="C1752" s="3" t="s">
        <v>280</v>
      </c>
    </row>
    <row r="1753" spans="1:3" ht="15" x14ac:dyDescent="0.25">
      <c r="A1753" s="3" t="s">
        <v>256</v>
      </c>
      <c r="B1753" s="3" t="s">
        <v>681</v>
      </c>
      <c r="C1753" s="3" t="s">
        <v>280</v>
      </c>
    </row>
    <row r="1754" spans="1:3" ht="15" x14ac:dyDescent="0.25">
      <c r="A1754" s="3" t="s">
        <v>38</v>
      </c>
      <c r="B1754" s="3" t="s">
        <v>681</v>
      </c>
      <c r="C1754" s="3" t="s">
        <v>280</v>
      </c>
    </row>
    <row r="1755" spans="1:3" ht="15" x14ac:dyDescent="0.25">
      <c r="A1755" s="3" t="s">
        <v>46</v>
      </c>
      <c r="B1755" s="3" t="s">
        <v>681</v>
      </c>
      <c r="C1755" s="3" t="s">
        <v>280</v>
      </c>
    </row>
    <row r="1756" spans="1:3" ht="15" x14ac:dyDescent="0.25">
      <c r="A1756" s="3" t="s">
        <v>198</v>
      </c>
      <c r="B1756" s="3" t="s">
        <v>681</v>
      </c>
      <c r="C1756" s="3" t="s">
        <v>280</v>
      </c>
    </row>
    <row r="1757" spans="1:3" ht="15" x14ac:dyDescent="0.25">
      <c r="A1757" s="3" t="s">
        <v>49</v>
      </c>
      <c r="B1757" s="3" t="s">
        <v>681</v>
      </c>
      <c r="C1757" s="3" t="s">
        <v>280</v>
      </c>
    </row>
    <row r="1758" spans="1:3" ht="15" x14ac:dyDescent="0.25">
      <c r="A1758" s="3" t="s">
        <v>381</v>
      </c>
      <c r="B1758" s="3" t="s">
        <v>681</v>
      </c>
      <c r="C1758" s="3" t="s">
        <v>280</v>
      </c>
    </row>
    <row r="1759" spans="1:3" ht="15" x14ac:dyDescent="0.25">
      <c r="A1759" s="3" t="s">
        <v>363</v>
      </c>
      <c r="B1759" s="3" t="s">
        <v>681</v>
      </c>
      <c r="C1759" s="3" t="s">
        <v>280</v>
      </c>
    </row>
    <row r="1760" spans="1:3" ht="15" x14ac:dyDescent="0.25">
      <c r="A1760" s="3" t="s">
        <v>311</v>
      </c>
      <c r="B1760" s="3" t="s">
        <v>681</v>
      </c>
      <c r="C1760" s="3" t="s">
        <v>280</v>
      </c>
    </row>
    <row r="1761" spans="1:3" ht="15" x14ac:dyDescent="0.25">
      <c r="A1761" s="3" t="s">
        <v>199</v>
      </c>
      <c r="B1761" s="3" t="s">
        <v>681</v>
      </c>
      <c r="C1761" s="3" t="s">
        <v>280</v>
      </c>
    </row>
    <row r="1762" spans="1:3" ht="15" x14ac:dyDescent="0.25">
      <c r="A1762" s="3" t="s">
        <v>220</v>
      </c>
      <c r="B1762" s="3" t="s">
        <v>681</v>
      </c>
      <c r="C1762" s="3" t="s">
        <v>280</v>
      </c>
    </row>
    <row r="1763" spans="1:3" ht="15" x14ac:dyDescent="0.25">
      <c r="A1763" s="3" t="s">
        <v>137</v>
      </c>
      <c r="B1763" s="3" t="s">
        <v>681</v>
      </c>
      <c r="C1763" s="3" t="s">
        <v>280</v>
      </c>
    </row>
    <row r="1764" spans="1:3" ht="15" x14ac:dyDescent="0.25">
      <c r="A1764" s="3" t="s">
        <v>393</v>
      </c>
      <c r="B1764" s="3" t="s">
        <v>681</v>
      </c>
      <c r="C1764" s="3" t="s">
        <v>280</v>
      </c>
    </row>
    <row r="1765" spans="1:3" ht="15" x14ac:dyDescent="0.25">
      <c r="A1765" s="3" t="s">
        <v>521</v>
      </c>
      <c r="B1765" s="3" t="s">
        <v>681</v>
      </c>
      <c r="C1765" s="3" t="s">
        <v>280</v>
      </c>
    </row>
    <row r="1766" spans="1:3" ht="15" x14ac:dyDescent="0.25">
      <c r="A1766" s="3" t="s">
        <v>222</v>
      </c>
      <c r="B1766" s="3" t="s">
        <v>681</v>
      </c>
      <c r="C1766" s="3" t="s">
        <v>280</v>
      </c>
    </row>
    <row r="1767" spans="1:3" ht="15" x14ac:dyDescent="0.25">
      <c r="A1767" s="3" t="s">
        <v>319</v>
      </c>
      <c r="B1767" s="3" t="s">
        <v>681</v>
      </c>
      <c r="C1767" s="3" t="s">
        <v>280</v>
      </c>
    </row>
    <row r="1768" spans="1:3" ht="15" x14ac:dyDescent="0.25">
      <c r="A1768" s="3" t="s">
        <v>200</v>
      </c>
      <c r="B1768" s="3" t="s">
        <v>681</v>
      </c>
      <c r="C1768" s="3" t="s">
        <v>280</v>
      </c>
    </row>
    <row r="1769" spans="1:3" ht="15" x14ac:dyDescent="0.25">
      <c r="A1769" s="3" t="s">
        <v>364</v>
      </c>
      <c r="B1769" s="3" t="s">
        <v>681</v>
      </c>
      <c r="C1769" s="3" t="s">
        <v>280</v>
      </c>
    </row>
    <row r="1770" spans="1:3" ht="15" x14ac:dyDescent="0.25">
      <c r="A1770" s="3" t="s">
        <v>177</v>
      </c>
      <c r="B1770" s="3" t="s">
        <v>681</v>
      </c>
      <c r="C1770" s="3" t="s">
        <v>280</v>
      </c>
    </row>
    <row r="1771" spans="1:3" ht="15" x14ac:dyDescent="0.25">
      <c r="A1771" s="3" t="s">
        <v>397</v>
      </c>
      <c r="B1771" s="3" t="s">
        <v>681</v>
      </c>
      <c r="C1771" s="3" t="s">
        <v>280</v>
      </c>
    </row>
    <row r="1772" spans="1:3" ht="15" x14ac:dyDescent="0.25">
      <c r="A1772" s="3" t="s">
        <v>259</v>
      </c>
      <c r="B1772" s="3" t="s">
        <v>681</v>
      </c>
      <c r="C1772" s="3" t="s">
        <v>280</v>
      </c>
    </row>
    <row r="1773" spans="1:3" ht="15" x14ac:dyDescent="0.25">
      <c r="A1773" s="3" t="s">
        <v>52</v>
      </c>
      <c r="B1773" s="3" t="s">
        <v>681</v>
      </c>
      <c r="C1773" s="3" t="s">
        <v>280</v>
      </c>
    </row>
    <row r="1774" spans="1:3" ht="15" x14ac:dyDescent="0.25">
      <c r="A1774" s="3" t="s">
        <v>454</v>
      </c>
      <c r="B1774" s="3" t="s">
        <v>681</v>
      </c>
      <c r="C1774" s="3" t="s">
        <v>280</v>
      </c>
    </row>
    <row r="1775" spans="1:3" ht="15" x14ac:dyDescent="0.25">
      <c r="A1775" s="3" t="s">
        <v>300</v>
      </c>
      <c r="B1775" s="3" t="s">
        <v>681</v>
      </c>
      <c r="C1775" s="3" t="s">
        <v>280</v>
      </c>
    </row>
    <row r="1776" spans="1:3" ht="15" x14ac:dyDescent="0.25">
      <c r="A1776" s="3" t="s">
        <v>215</v>
      </c>
      <c r="B1776" s="3" t="s">
        <v>681</v>
      </c>
      <c r="C1776" s="3" t="s">
        <v>280</v>
      </c>
    </row>
    <row r="1777" spans="1:3" ht="15" x14ac:dyDescent="0.25">
      <c r="A1777" s="3" t="s">
        <v>134</v>
      </c>
      <c r="B1777" s="3" t="s">
        <v>681</v>
      </c>
      <c r="C1777" s="3" t="s">
        <v>280</v>
      </c>
    </row>
    <row r="1778" spans="1:3" ht="15" x14ac:dyDescent="0.25">
      <c r="A1778" s="3" t="s">
        <v>653</v>
      </c>
      <c r="B1778" s="3" t="s">
        <v>681</v>
      </c>
      <c r="C1778" s="3" t="s">
        <v>280</v>
      </c>
    </row>
    <row r="1779" spans="1:3" ht="15" x14ac:dyDescent="0.25">
      <c r="A1779" s="3" t="s">
        <v>367</v>
      </c>
      <c r="B1779" s="3" t="s">
        <v>681</v>
      </c>
      <c r="C1779" s="3" t="s">
        <v>280</v>
      </c>
    </row>
    <row r="1780" spans="1:3" ht="15" x14ac:dyDescent="0.25">
      <c r="A1780" s="3" t="s">
        <v>263</v>
      </c>
      <c r="B1780" s="3" t="s">
        <v>681</v>
      </c>
      <c r="C1780" s="3" t="s">
        <v>280</v>
      </c>
    </row>
    <row r="1781" spans="1:3" ht="15" x14ac:dyDescent="0.25">
      <c r="A1781" s="3" t="s">
        <v>59</v>
      </c>
      <c r="B1781" s="3" t="s">
        <v>681</v>
      </c>
      <c r="C1781" s="3" t="s">
        <v>280</v>
      </c>
    </row>
    <row r="1782" spans="1:3" ht="15" x14ac:dyDescent="0.25">
      <c r="A1782" s="3" t="s">
        <v>616</v>
      </c>
      <c r="B1782" s="3" t="s">
        <v>681</v>
      </c>
      <c r="C1782" s="3" t="s">
        <v>280</v>
      </c>
    </row>
    <row r="1783" spans="1:3" ht="15" x14ac:dyDescent="0.25">
      <c r="A1783" s="3" t="s">
        <v>306</v>
      </c>
      <c r="B1783" s="3" t="s">
        <v>681</v>
      </c>
      <c r="C1783" s="3" t="s">
        <v>280</v>
      </c>
    </row>
    <row r="1784" spans="1:3" ht="15" x14ac:dyDescent="0.25">
      <c r="A1784" s="3" t="s">
        <v>62</v>
      </c>
      <c r="B1784" s="3" t="s">
        <v>681</v>
      </c>
      <c r="C1784" s="3" t="s">
        <v>280</v>
      </c>
    </row>
    <row r="1785" spans="1:3" ht="15" x14ac:dyDescent="0.25">
      <c r="A1785" s="3" t="s">
        <v>282</v>
      </c>
      <c r="B1785" s="3" t="s">
        <v>681</v>
      </c>
      <c r="C1785" s="3" t="s">
        <v>280</v>
      </c>
    </row>
    <row r="1786" spans="1:3" ht="15" x14ac:dyDescent="0.25">
      <c r="A1786" s="3" t="s">
        <v>112</v>
      </c>
      <c r="B1786" s="3" t="s">
        <v>681</v>
      </c>
      <c r="C1786" s="3" t="s">
        <v>280</v>
      </c>
    </row>
    <row r="1787" spans="1:3" ht="15" x14ac:dyDescent="0.25">
      <c r="A1787" s="3" t="s">
        <v>67</v>
      </c>
      <c r="B1787" s="3" t="s">
        <v>681</v>
      </c>
      <c r="C1787" s="3" t="s">
        <v>280</v>
      </c>
    </row>
    <row r="1788" spans="1:3" ht="15" x14ac:dyDescent="0.25">
      <c r="A1788" s="3" t="s">
        <v>343</v>
      </c>
      <c r="B1788" s="3" t="s">
        <v>681</v>
      </c>
      <c r="C1788" s="3" t="s">
        <v>280</v>
      </c>
    </row>
    <row r="1789" spans="1:3" ht="15" x14ac:dyDescent="0.25">
      <c r="A1789" s="3" t="s">
        <v>70</v>
      </c>
      <c r="B1789" s="3" t="s">
        <v>681</v>
      </c>
      <c r="C1789" s="3" t="s">
        <v>280</v>
      </c>
    </row>
    <row r="1790" spans="1:3" ht="15" x14ac:dyDescent="0.25">
      <c r="A1790" s="3" t="s">
        <v>72</v>
      </c>
      <c r="B1790" s="3" t="s">
        <v>681</v>
      </c>
      <c r="C1790" s="3" t="s">
        <v>280</v>
      </c>
    </row>
    <row r="1791" spans="1:3" ht="15" x14ac:dyDescent="0.25">
      <c r="A1791" s="3" t="s">
        <v>114</v>
      </c>
      <c r="B1791" s="3" t="s">
        <v>681</v>
      </c>
      <c r="C1791" s="3" t="s">
        <v>280</v>
      </c>
    </row>
    <row r="1792" spans="1:3" ht="15" x14ac:dyDescent="0.25">
      <c r="A1792" s="3" t="s">
        <v>400</v>
      </c>
      <c r="B1792" s="3" t="s">
        <v>681</v>
      </c>
      <c r="C1792" s="3" t="s">
        <v>280</v>
      </c>
    </row>
    <row r="1793" spans="1:3" ht="15" x14ac:dyDescent="0.25">
      <c r="A1793" s="3" t="s">
        <v>267</v>
      </c>
      <c r="B1793" s="3" t="s">
        <v>681</v>
      </c>
      <c r="C1793" s="3" t="s">
        <v>280</v>
      </c>
    </row>
    <row r="1794" spans="1:3" ht="15" x14ac:dyDescent="0.25">
      <c r="A1794" s="3" t="s">
        <v>75</v>
      </c>
      <c r="B1794" s="3" t="s">
        <v>681</v>
      </c>
      <c r="C1794" s="3" t="s">
        <v>280</v>
      </c>
    </row>
    <row r="1795" spans="1:3" ht="15" x14ac:dyDescent="0.25">
      <c r="A1795" s="3" t="s">
        <v>375</v>
      </c>
      <c r="B1795" s="3" t="s">
        <v>681</v>
      </c>
      <c r="C1795" s="3" t="s">
        <v>280</v>
      </c>
    </row>
    <row r="1796" spans="1:3" ht="15" x14ac:dyDescent="0.25">
      <c r="A1796" s="3" t="s">
        <v>116</v>
      </c>
      <c r="B1796" s="3" t="s">
        <v>681</v>
      </c>
      <c r="C1796" s="3" t="s">
        <v>280</v>
      </c>
    </row>
    <row r="1797" spans="1:3" ht="15" x14ac:dyDescent="0.25">
      <c r="A1797" s="3" t="s">
        <v>117</v>
      </c>
      <c r="B1797" s="3" t="s">
        <v>681</v>
      </c>
      <c r="C1797" s="3" t="s">
        <v>280</v>
      </c>
    </row>
    <row r="1798" spans="1:3" ht="15" x14ac:dyDescent="0.25">
      <c r="A1798" s="3" t="s">
        <v>202</v>
      </c>
      <c r="B1798" s="3" t="s">
        <v>681</v>
      </c>
      <c r="C1798" s="3" t="s">
        <v>280</v>
      </c>
    </row>
    <row r="1799" spans="1:3" ht="15" x14ac:dyDescent="0.25">
      <c r="A1799" s="3" t="s">
        <v>118</v>
      </c>
      <c r="B1799" s="3" t="s">
        <v>681</v>
      </c>
      <c r="C1799" s="3" t="s">
        <v>280</v>
      </c>
    </row>
    <row r="1800" spans="1:3" ht="15" x14ac:dyDescent="0.25">
      <c r="A1800" s="3" t="s">
        <v>227</v>
      </c>
      <c r="B1800" s="3" t="s">
        <v>681</v>
      </c>
      <c r="C1800" s="3" t="s">
        <v>280</v>
      </c>
    </row>
    <row r="1801" spans="1:3" ht="15" x14ac:dyDescent="0.25">
      <c r="A1801" s="3" t="s">
        <v>270</v>
      </c>
      <c r="B1801" s="3" t="s">
        <v>681</v>
      </c>
      <c r="C1801" s="3" t="s">
        <v>280</v>
      </c>
    </row>
    <row r="1802" spans="1:3" ht="15" x14ac:dyDescent="0.25">
      <c r="A1802" s="3" t="s">
        <v>355</v>
      </c>
      <c r="B1802" s="3" t="s">
        <v>681</v>
      </c>
      <c r="C1802" s="3" t="s">
        <v>280</v>
      </c>
    </row>
    <row r="1803" spans="1:3" ht="15" x14ac:dyDescent="0.25">
      <c r="A1803" s="3" t="s">
        <v>327</v>
      </c>
      <c r="B1803" s="3" t="s">
        <v>681</v>
      </c>
      <c r="C1803" s="3" t="s">
        <v>280</v>
      </c>
    </row>
    <row r="1804" spans="1:3" ht="15" x14ac:dyDescent="0.25">
      <c r="A1804" s="3" t="s">
        <v>382</v>
      </c>
      <c r="B1804" s="3" t="s">
        <v>681</v>
      </c>
      <c r="C1804" s="3" t="s">
        <v>280</v>
      </c>
    </row>
    <row r="1805" spans="1:3" ht="15" x14ac:dyDescent="0.25">
      <c r="A1805" s="3" t="s">
        <v>162</v>
      </c>
      <c r="B1805" s="3" t="s">
        <v>681</v>
      </c>
      <c r="C1805" s="3" t="s">
        <v>280</v>
      </c>
    </row>
    <row r="1806" spans="1:3" ht="15" x14ac:dyDescent="0.25">
      <c r="A1806" s="3" t="s">
        <v>383</v>
      </c>
      <c r="B1806" s="3" t="s">
        <v>681</v>
      </c>
      <c r="C1806" s="3" t="s">
        <v>280</v>
      </c>
    </row>
    <row r="1807" spans="1:3" ht="15" x14ac:dyDescent="0.25">
      <c r="A1807" s="3" t="s">
        <v>272</v>
      </c>
      <c r="B1807" s="3" t="s">
        <v>681</v>
      </c>
      <c r="C1807" s="3" t="s">
        <v>280</v>
      </c>
    </row>
    <row r="1808" spans="1:3" ht="15" x14ac:dyDescent="0.25">
      <c r="A1808" s="3" t="s">
        <v>384</v>
      </c>
      <c r="B1808" s="3" t="s">
        <v>681</v>
      </c>
      <c r="C1808" s="3" t="s">
        <v>280</v>
      </c>
    </row>
    <row r="1809" spans="1:3" ht="15" x14ac:dyDescent="0.25">
      <c r="A1809" s="3" t="s">
        <v>376</v>
      </c>
      <c r="B1809" s="3" t="s">
        <v>681</v>
      </c>
      <c r="C1809" s="3" t="s">
        <v>280</v>
      </c>
    </row>
    <row r="1810" spans="1:3" ht="15" x14ac:dyDescent="0.25">
      <c r="A1810" s="3" t="s">
        <v>368</v>
      </c>
      <c r="B1810" s="3" t="s">
        <v>681</v>
      </c>
      <c r="C1810" s="3" t="s">
        <v>280</v>
      </c>
    </row>
    <row r="1811" spans="1:3" ht="15" x14ac:dyDescent="0.25">
      <c r="A1811" s="3" t="s">
        <v>273</v>
      </c>
      <c r="B1811" s="3" t="s">
        <v>681</v>
      </c>
      <c r="C1811" s="3" t="s">
        <v>280</v>
      </c>
    </row>
    <row r="1812" spans="1:3" ht="15" x14ac:dyDescent="0.25">
      <c r="A1812" s="3" t="s">
        <v>208</v>
      </c>
      <c r="B1812" s="3" t="s">
        <v>681</v>
      </c>
      <c r="C1812" s="3" t="s">
        <v>280</v>
      </c>
    </row>
    <row r="1813" spans="1:3" ht="15" x14ac:dyDescent="0.25">
      <c r="A1813" s="3" t="s">
        <v>228</v>
      </c>
      <c r="B1813" s="3" t="s">
        <v>681</v>
      </c>
      <c r="C1813" s="3" t="s">
        <v>280</v>
      </c>
    </row>
    <row r="1814" spans="1:3" ht="15" x14ac:dyDescent="0.25">
      <c r="A1814" s="3" t="s">
        <v>331</v>
      </c>
      <c r="B1814" s="3" t="s">
        <v>681</v>
      </c>
      <c r="C1814" s="3" t="s">
        <v>280</v>
      </c>
    </row>
    <row r="1815" spans="1:3" ht="15" x14ac:dyDescent="0.25">
      <c r="A1815" s="3" t="s">
        <v>669</v>
      </c>
      <c r="B1815" s="3" t="s">
        <v>681</v>
      </c>
      <c r="C1815" s="3" t="s">
        <v>280</v>
      </c>
    </row>
    <row r="1816" spans="1:3" ht="15" x14ac:dyDescent="0.25">
      <c r="A1816" s="3" t="s">
        <v>649</v>
      </c>
      <c r="B1816" s="3" t="s">
        <v>681</v>
      </c>
      <c r="C1816" s="3" t="s">
        <v>280</v>
      </c>
    </row>
    <row r="1817" spans="1:3" ht="15" x14ac:dyDescent="0.25">
      <c r="A1817" s="3" t="s">
        <v>98</v>
      </c>
      <c r="B1817" s="3" t="s">
        <v>681</v>
      </c>
      <c r="C1817" s="3" t="s">
        <v>280</v>
      </c>
    </row>
    <row r="1818" spans="1:3" ht="15" x14ac:dyDescent="0.25">
      <c r="A1818" s="3" t="s">
        <v>99</v>
      </c>
      <c r="B1818" s="3" t="s">
        <v>681</v>
      </c>
      <c r="C1818" s="3" t="s">
        <v>280</v>
      </c>
    </row>
    <row r="1819" spans="1:3" ht="15" x14ac:dyDescent="0.25">
      <c r="A1819" s="3" t="s">
        <v>100</v>
      </c>
      <c r="B1819" s="3" t="s">
        <v>681</v>
      </c>
      <c r="C1819" s="3" t="s">
        <v>280</v>
      </c>
    </row>
    <row r="1820" spans="1:3" ht="15" x14ac:dyDescent="0.25">
      <c r="A1820" s="3" t="s">
        <v>508</v>
      </c>
      <c r="B1820" s="3" t="s">
        <v>681</v>
      </c>
      <c r="C1820" s="3" t="s">
        <v>280</v>
      </c>
    </row>
    <row r="1821" spans="1:3" ht="15" x14ac:dyDescent="0.25">
      <c r="A1821" s="3" t="s">
        <v>119</v>
      </c>
      <c r="B1821" s="3" t="s">
        <v>681</v>
      </c>
      <c r="C1821" s="3" t="s">
        <v>280</v>
      </c>
    </row>
    <row r="1822" spans="1:3" ht="15" x14ac:dyDescent="0.25">
      <c r="A1822" s="3" t="s">
        <v>275</v>
      </c>
      <c r="B1822" s="3" t="s">
        <v>681</v>
      </c>
      <c r="C1822" s="3" t="s">
        <v>280</v>
      </c>
    </row>
    <row r="1823" spans="1:3" ht="15" x14ac:dyDescent="0.25">
      <c r="A1823" s="3" t="s">
        <v>101</v>
      </c>
      <c r="B1823" s="3" t="s">
        <v>681</v>
      </c>
      <c r="C1823" s="3" t="s">
        <v>280</v>
      </c>
    </row>
    <row r="1824" spans="1:3" ht="15" x14ac:dyDescent="0.25">
      <c r="A1824" s="3" t="s">
        <v>613</v>
      </c>
      <c r="B1824" s="3" t="s">
        <v>681</v>
      </c>
      <c r="C1824" s="3" t="s">
        <v>280</v>
      </c>
    </row>
    <row r="1825" spans="1:3" ht="15" x14ac:dyDescent="0.25">
      <c r="A1825" s="3" t="s">
        <v>55</v>
      </c>
      <c r="B1825" s="3" t="s">
        <v>684</v>
      </c>
      <c r="C1825" s="3" t="s">
        <v>280</v>
      </c>
    </row>
    <row r="1826" spans="1:3" ht="15" x14ac:dyDescent="0.25">
      <c r="A1826" s="3" t="s">
        <v>78</v>
      </c>
      <c r="B1826" s="3" t="s">
        <v>684</v>
      </c>
      <c r="C1826" s="3" t="s">
        <v>280</v>
      </c>
    </row>
    <row r="1827" spans="1:3" ht="15" x14ac:dyDescent="0.25">
      <c r="A1827" s="3" t="s">
        <v>83</v>
      </c>
      <c r="B1827" s="3" t="s">
        <v>684</v>
      </c>
      <c r="C1827" s="3" t="s">
        <v>280</v>
      </c>
    </row>
    <row r="1828" spans="1:3" ht="15" x14ac:dyDescent="0.25">
      <c r="A1828" s="3" t="s">
        <v>84</v>
      </c>
      <c r="B1828" s="3" t="s">
        <v>684</v>
      </c>
      <c r="C1828" s="3" t="s">
        <v>280</v>
      </c>
    </row>
    <row r="1829" spans="1:3" ht="15" x14ac:dyDescent="0.25">
      <c r="A1829" s="3" t="s">
        <v>85</v>
      </c>
      <c r="B1829" s="3" t="s">
        <v>684</v>
      </c>
      <c r="C1829" s="3" t="s">
        <v>280</v>
      </c>
    </row>
    <row r="1830" spans="1:3" ht="15" x14ac:dyDescent="0.25">
      <c r="A1830" s="3" t="s">
        <v>86</v>
      </c>
      <c r="B1830" s="3" t="s">
        <v>684</v>
      </c>
      <c r="C1830" s="3" t="s">
        <v>280</v>
      </c>
    </row>
    <row r="1831" spans="1:3" ht="15" x14ac:dyDescent="0.25">
      <c r="A1831" s="3" t="s">
        <v>87</v>
      </c>
      <c r="B1831" s="3" t="s">
        <v>684</v>
      </c>
      <c r="C1831" s="3" t="s">
        <v>280</v>
      </c>
    </row>
    <row r="1832" spans="1:3" ht="15" x14ac:dyDescent="0.25">
      <c r="A1832" s="3" t="s">
        <v>88</v>
      </c>
      <c r="B1832" s="3" t="s">
        <v>684</v>
      </c>
      <c r="C1832" s="3" t="s">
        <v>280</v>
      </c>
    </row>
    <row r="1833" spans="1:3" ht="15" x14ac:dyDescent="0.25">
      <c r="A1833" s="3" t="s">
        <v>89</v>
      </c>
      <c r="B1833" s="3" t="s">
        <v>684</v>
      </c>
      <c r="C1833" s="3" t="s">
        <v>280</v>
      </c>
    </row>
    <row r="1834" spans="1:3" ht="15" x14ac:dyDescent="0.25">
      <c r="A1834" s="3" t="s">
        <v>90</v>
      </c>
      <c r="B1834" s="3" t="s">
        <v>684</v>
      </c>
      <c r="C1834" s="3" t="s">
        <v>280</v>
      </c>
    </row>
    <row r="1835" spans="1:3" ht="15" x14ac:dyDescent="0.25">
      <c r="A1835" s="3" t="s">
        <v>91</v>
      </c>
      <c r="B1835" s="3" t="s">
        <v>684</v>
      </c>
      <c r="C1835" s="3" t="s">
        <v>280</v>
      </c>
    </row>
    <row r="1836" spans="1:3" ht="15" x14ac:dyDescent="0.25">
      <c r="A1836" s="3" t="s">
        <v>160</v>
      </c>
      <c r="B1836" s="3" t="s">
        <v>684</v>
      </c>
      <c r="C1836" s="3" t="s">
        <v>280</v>
      </c>
    </row>
    <row r="1837" spans="1:3" ht="15" x14ac:dyDescent="0.25">
      <c r="A1837" s="3" t="s">
        <v>92</v>
      </c>
      <c r="B1837" s="3" t="s">
        <v>684</v>
      </c>
      <c r="C1837" s="3" t="s">
        <v>280</v>
      </c>
    </row>
    <row r="1838" spans="1:3" ht="15" x14ac:dyDescent="0.25">
      <c r="A1838" s="3" t="s">
        <v>94</v>
      </c>
      <c r="B1838" s="3" t="s">
        <v>684</v>
      </c>
      <c r="C1838" s="3" t="s">
        <v>280</v>
      </c>
    </row>
    <row r="1839" spans="1:3" ht="15" x14ac:dyDescent="0.25">
      <c r="A1839" s="3" t="s">
        <v>614</v>
      </c>
      <c r="B1839" s="3" t="s">
        <v>685</v>
      </c>
      <c r="C1839" s="3" t="s">
        <v>280</v>
      </c>
    </row>
    <row r="1840" spans="1:3" ht="15" x14ac:dyDescent="0.25">
      <c r="A1840" s="3" t="s">
        <v>205</v>
      </c>
      <c r="B1840" s="3" t="s">
        <v>685</v>
      </c>
      <c r="C1840" s="3" t="s">
        <v>280</v>
      </c>
    </row>
    <row r="1841" spans="1:3" ht="15" x14ac:dyDescent="0.25">
      <c r="A1841" s="3" t="s">
        <v>237</v>
      </c>
      <c r="B1841" s="3" t="s">
        <v>685</v>
      </c>
      <c r="C1841" s="3" t="s">
        <v>280</v>
      </c>
    </row>
    <row r="1842" spans="1:3" ht="15" x14ac:dyDescent="0.25">
      <c r="A1842" s="3" t="s">
        <v>238</v>
      </c>
      <c r="B1842" s="3" t="s">
        <v>685</v>
      </c>
      <c r="C1842" s="3" t="s">
        <v>280</v>
      </c>
    </row>
    <row r="1843" spans="1:3" ht="15" x14ac:dyDescent="0.25">
      <c r="A1843" s="3" t="s">
        <v>621</v>
      </c>
      <c r="B1843" s="3" t="s">
        <v>685</v>
      </c>
      <c r="C1843" s="3" t="s">
        <v>280</v>
      </c>
    </row>
    <row r="1844" spans="1:3" ht="15" x14ac:dyDescent="0.25">
      <c r="A1844" s="3" t="s">
        <v>241</v>
      </c>
      <c r="B1844" s="3" t="s">
        <v>685</v>
      </c>
      <c r="C1844" s="3" t="s">
        <v>280</v>
      </c>
    </row>
    <row r="1845" spans="1:3" ht="15" x14ac:dyDescent="0.25">
      <c r="A1845" s="3" t="s">
        <v>663</v>
      </c>
      <c r="B1845" s="3" t="s">
        <v>685</v>
      </c>
      <c r="C1845" s="3" t="s">
        <v>280</v>
      </c>
    </row>
    <row r="1846" spans="1:3" ht="15" x14ac:dyDescent="0.25">
      <c r="A1846" s="3" t="s">
        <v>31</v>
      </c>
      <c r="B1846" s="3" t="s">
        <v>685</v>
      </c>
      <c r="C1846" s="3" t="s">
        <v>280</v>
      </c>
    </row>
    <row r="1847" spans="1:3" ht="15" x14ac:dyDescent="0.25">
      <c r="A1847" s="3" t="s">
        <v>492</v>
      </c>
      <c r="B1847" s="3" t="s">
        <v>685</v>
      </c>
      <c r="C1847" s="3" t="s">
        <v>280</v>
      </c>
    </row>
    <row r="1848" spans="1:3" ht="15" x14ac:dyDescent="0.25">
      <c r="A1848" s="3" t="s">
        <v>564</v>
      </c>
      <c r="B1848" s="3" t="s">
        <v>685</v>
      </c>
      <c r="C1848" s="3" t="s">
        <v>280</v>
      </c>
    </row>
    <row r="1849" spans="1:3" ht="15" x14ac:dyDescent="0.25">
      <c r="A1849" s="3" t="s">
        <v>449</v>
      </c>
      <c r="B1849" s="3" t="s">
        <v>685</v>
      </c>
      <c r="C1849" s="3" t="s">
        <v>280</v>
      </c>
    </row>
    <row r="1850" spans="1:3" ht="15" x14ac:dyDescent="0.25">
      <c r="A1850" s="3" t="s">
        <v>107</v>
      </c>
      <c r="B1850" s="3" t="s">
        <v>685</v>
      </c>
      <c r="C1850" s="3" t="s">
        <v>280</v>
      </c>
    </row>
    <row r="1851" spans="1:3" ht="15" x14ac:dyDescent="0.25">
      <c r="A1851" s="3" t="s">
        <v>219</v>
      </c>
      <c r="B1851" s="3" t="s">
        <v>685</v>
      </c>
      <c r="C1851" s="3" t="s">
        <v>280</v>
      </c>
    </row>
    <row r="1852" spans="1:3" ht="15" x14ac:dyDescent="0.25">
      <c r="A1852" s="3" t="s">
        <v>229</v>
      </c>
      <c r="B1852" s="3" t="s">
        <v>685</v>
      </c>
      <c r="C1852" s="3" t="s">
        <v>280</v>
      </c>
    </row>
    <row r="1853" spans="1:3" ht="15" x14ac:dyDescent="0.25">
      <c r="A1853" s="3" t="s">
        <v>256</v>
      </c>
      <c r="B1853" s="3" t="s">
        <v>685</v>
      </c>
      <c r="C1853" s="3" t="s">
        <v>280</v>
      </c>
    </row>
    <row r="1854" spans="1:3" ht="15" x14ac:dyDescent="0.25">
      <c r="A1854" s="3" t="s">
        <v>38</v>
      </c>
      <c r="B1854" s="3" t="s">
        <v>685</v>
      </c>
      <c r="C1854" s="3" t="s">
        <v>280</v>
      </c>
    </row>
    <row r="1855" spans="1:3" ht="15" x14ac:dyDescent="0.25">
      <c r="A1855" s="3" t="s">
        <v>311</v>
      </c>
      <c r="B1855" s="3" t="s">
        <v>685</v>
      </c>
      <c r="C1855" s="3" t="s">
        <v>280</v>
      </c>
    </row>
    <row r="1856" spans="1:3" ht="15" x14ac:dyDescent="0.25">
      <c r="A1856" s="3" t="s">
        <v>220</v>
      </c>
      <c r="B1856" s="3" t="s">
        <v>685</v>
      </c>
      <c r="C1856" s="3" t="s">
        <v>280</v>
      </c>
    </row>
    <row r="1857" spans="1:3" ht="15" x14ac:dyDescent="0.25">
      <c r="A1857" s="3" t="s">
        <v>393</v>
      </c>
      <c r="B1857" s="3" t="s">
        <v>685</v>
      </c>
      <c r="C1857" s="3" t="s">
        <v>280</v>
      </c>
    </row>
    <row r="1858" spans="1:3" ht="15" x14ac:dyDescent="0.25">
      <c r="A1858" s="3" t="s">
        <v>200</v>
      </c>
      <c r="B1858" s="3" t="s">
        <v>685</v>
      </c>
      <c r="C1858" s="3" t="s">
        <v>280</v>
      </c>
    </row>
    <row r="1859" spans="1:3" ht="15" x14ac:dyDescent="0.25">
      <c r="A1859" s="3" t="s">
        <v>364</v>
      </c>
      <c r="B1859" s="3" t="s">
        <v>685</v>
      </c>
      <c r="C1859" s="3" t="s">
        <v>280</v>
      </c>
    </row>
    <row r="1860" spans="1:3" ht="15" x14ac:dyDescent="0.25">
      <c r="A1860" s="3" t="s">
        <v>134</v>
      </c>
      <c r="B1860" s="3" t="s">
        <v>685</v>
      </c>
      <c r="C1860" s="3" t="s">
        <v>280</v>
      </c>
    </row>
    <row r="1861" spans="1:3" ht="15" x14ac:dyDescent="0.25">
      <c r="A1861" s="3" t="s">
        <v>55</v>
      </c>
      <c r="B1861" s="3" t="s">
        <v>685</v>
      </c>
      <c r="C1861" s="3" t="s">
        <v>280</v>
      </c>
    </row>
    <row r="1862" spans="1:3" ht="15" x14ac:dyDescent="0.25">
      <c r="A1862" s="3" t="s">
        <v>616</v>
      </c>
      <c r="B1862" s="3" t="s">
        <v>685</v>
      </c>
      <c r="C1862" s="3" t="s">
        <v>280</v>
      </c>
    </row>
    <row r="1863" spans="1:3" ht="15" x14ac:dyDescent="0.25">
      <c r="A1863" s="3" t="s">
        <v>62</v>
      </c>
      <c r="B1863" s="3" t="s">
        <v>685</v>
      </c>
      <c r="C1863" s="3" t="s">
        <v>280</v>
      </c>
    </row>
    <row r="1864" spans="1:3" ht="15" x14ac:dyDescent="0.25">
      <c r="A1864" s="3" t="s">
        <v>201</v>
      </c>
      <c r="B1864" s="3" t="s">
        <v>685</v>
      </c>
      <c r="C1864" s="3" t="s">
        <v>280</v>
      </c>
    </row>
    <row r="1865" spans="1:3" ht="15" x14ac:dyDescent="0.25">
      <c r="A1865" s="3" t="s">
        <v>114</v>
      </c>
      <c r="B1865" s="3" t="s">
        <v>685</v>
      </c>
      <c r="C1865" s="3" t="s">
        <v>280</v>
      </c>
    </row>
    <row r="1866" spans="1:3" ht="15" x14ac:dyDescent="0.25">
      <c r="A1866" s="3" t="s">
        <v>116</v>
      </c>
      <c r="B1866" s="3" t="s">
        <v>685</v>
      </c>
      <c r="C1866" s="3" t="s">
        <v>280</v>
      </c>
    </row>
    <row r="1867" spans="1:3" ht="15" x14ac:dyDescent="0.25">
      <c r="A1867" s="3" t="s">
        <v>117</v>
      </c>
      <c r="B1867" s="3" t="s">
        <v>685</v>
      </c>
      <c r="C1867" s="3" t="s">
        <v>280</v>
      </c>
    </row>
    <row r="1868" spans="1:3" ht="15" x14ac:dyDescent="0.25">
      <c r="A1868" s="3" t="s">
        <v>383</v>
      </c>
      <c r="B1868" s="3" t="s">
        <v>685</v>
      </c>
      <c r="C1868" s="3" t="s">
        <v>280</v>
      </c>
    </row>
    <row r="1869" spans="1:3" ht="15" x14ac:dyDescent="0.25">
      <c r="A1869" s="3" t="s">
        <v>272</v>
      </c>
      <c r="B1869" s="3" t="s">
        <v>685</v>
      </c>
      <c r="C1869" s="3" t="s">
        <v>280</v>
      </c>
    </row>
    <row r="1870" spans="1:3" ht="15" x14ac:dyDescent="0.25">
      <c r="A1870" s="3" t="s">
        <v>203</v>
      </c>
      <c r="B1870" s="3" t="s">
        <v>685</v>
      </c>
      <c r="C1870" s="3" t="s">
        <v>280</v>
      </c>
    </row>
    <row r="1871" spans="1:3" ht="15" x14ac:dyDescent="0.25">
      <c r="A1871" s="3" t="s">
        <v>537</v>
      </c>
      <c r="B1871" s="3" t="s">
        <v>685</v>
      </c>
      <c r="C1871" s="3" t="s">
        <v>280</v>
      </c>
    </row>
    <row r="1872" spans="1:3" ht="15" x14ac:dyDescent="0.25">
      <c r="A1872" s="3" t="s">
        <v>539</v>
      </c>
      <c r="B1872" s="3" t="s">
        <v>685</v>
      </c>
      <c r="C1872" s="3" t="s">
        <v>280</v>
      </c>
    </row>
    <row r="1873" spans="1:3" ht="15" x14ac:dyDescent="0.25">
      <c r="A1873" s="3" t="s">
        <v>98</v>
      </c>
      <c r="B1873" s="3" t="s">
        <v>685</v>
      </c>
      <c r="C1873" s="3" t="s">
        <v>280</v>
      </c>
    </row>
    <row r="1874" spans="1:3" ht="15" x14ac:dyDescent="0.25">
      <c r="A1874" s="3" t="s">
        <v>99</v>
      </c>
      <c r="B1874" s="3" t="s">
        <v>685</v>
      </c>
      <c r="C1874" s="3" t="s">
        <v>280</v>
      </c>
    </row>
    <row r="1875" spans="1:3" ht="15" x14ac:dyDescent="0.25">
      <c r="A1875" s="3" t="s">
        <v>100</v>
      </c>
      <c r="B1875" s="3" t="s">
        <v>685</v>
      </c>
      <c r="C1875" s="3" t="s">
        <v>280</v>
      </c>
    </row>
    <row r="1876" spans="1:3" ht="15" x14ac:dyDescent="0.25">
      <c r="A1876" s="3" t="s">
        <v>120</v>
      </c>
      <c r="B1876" s="3" t="s">
        <v>685</v>
      </c>
      <c r="C1876" s="3" t="s">
        <v>280</v>
      </c>
    </row>
    <row r="1877" spans="1:3" ht="15" x14ac:dyDescent="0.25">
      <c r="A1877" s="3" t="s">
        <v>233</v>
      </c>
      <c r="B1877" s="3" t="s">
        <v>687</v>
      </c>
      <c r="C1877" s="3" t="s">
        <v>280</v>
      </c>
    </row>
    <row r="1878" spans="1:3" ht="15" x14ac:dyDescent="0.25">
      <c r="A1878" s="3" t="s">
        <v>236</v>
      </c>
      <c r="B1878" s="3" t="s">
        <v>687</v>
      </c>
      <c r="C1878" s="3" t="s">
        <v>280</v>
      </c>
    </row>
    <row r="1879" spans="1:3" ht="15" x14ac:dyDescent="0.25">
      <c r="A1879" s="3" t="s">
        <v>10</v>
      </c>
      <c r="B1879" s="3" t="s">
        <v>687</v>
      </c>
      <c r="C1879" s="3" t="s">
        <v>280</v>
      </c>
    </row>
    <row r="1880" spans="1:3" ht="15" x14ac:dyDescent="0.25">
      <c r="A1880" s="3" t="s">
        <v>359</v>
      </c>
      <c r="B1880" s="3" t="s">
        <v>687</v>
      </c>
      <c r="C1880" s="3" t="s">
        <v>280</v>
      </c>
    </row>
    <row r="1881" spans="1:3" ht="15" x14ac:dyDescent="0.25">
      <c r="A1881" s="3" t="s">
        <v>186</v>
      </c>
      <c r="B1881" s="3" t="s">
        <v>687</v>
      </c>
      <c r="C1881" s="3" t="s">
        <v>280</v>
      </c>
    </row>
    <row r="1882" spans="1:3" ht="15" x14ac:dyDescent="0.25">
      <c r="A1882" s="3" t="s">
        <v>646</v>
      </c>
      <c r="B1882" s="3" t="s">
        <v>687</v>
      </c>
      <c r="C1882" s="3" t="s">
        <v>280</v>
      </c>
    </row>
    <row r="1883" spans="1:3" ht="15" x14ac:dyDescent="0.25">
      <c r="A1883" s="3" t="s">
        <v>127</v>
      </c>
      <c r="B1883" s="3" t="s">
        <v>687</v>
      </c>
      <c r="C1883" s="3" t="s">
        <v>280</v>
      </c>
    </row>
    <row r="1884" spans="1:3" ht="15" x14ac:dyDescent="0.25">
      <c r="A1884" s="3" t="s">
        <v>209</v>
      </c>
      <c r="B1884" s="3" t="s">
        <v>687</v>
      </c>
      <c r="C1884" s="3" t="s">
        <v>280</v>
      </c>
    </row>
    <row r="1885" spans="1:3" ht="15" x14ac:dyDescent="0.25">
      <c r="A1885" s="3" t="s">
        <v>287</v>
      </c>
      <c r="B1885" s="3" t="s">
        <v>687</v>
      </c>
      <c r="C1885" s="3" t="s">
        <v>280</v>
      </c>
    </row>
    <row r="1886" spans="1:3" ht="15" x14ac:dyDescent="0.25">
      <c r="A1886" s="3" t="s">
        <v>349</v>
      </c>
      <c r="B1886" s="3" t="s">
        <v>687</v>
      </c>
      <c r="C1886" s="3" t="s">
        <v>280</v>
      </c>
    </row>
    <row r="1887" spans="1:3" ht="15" x14ac:dyDescent="0.25">
      <c r="A1887" s="3" t="s">
        <v>291</v>
      </c>
      <c r="B1887" s="3" t="s">
        <v>687</v>
      </c>
      <c r="C1887" s="3" t="s">
        <v>280</v>
      </c>
    </row>
    <row r="1888" spans="1:3" ht="15" x14ac:dyDescent="0.25">
      <c r="A1888" s="3" t="s">
        <v>431</v>
      </c>
      <c r="B1888" s="3" t="s">
        <v>687</v>
      </c>
      <c r="C1888" s="3" t="s">
        <v>280</v>
      </c>
    </row>
    <row r="1889" spans="1:3" ht="15" x14ac:dyDescent="0.25">
      <c r="A1889" s="3" t="s">
        <v>133</v>
      </c>
      <c r="B1889" s="3" t="s">
        <v>687</v>
      </c>
      <c r="C1889" s="3" t="s">
        <v>280</v>
      </c>
    </row>
    <row r="1890" spans="1:3" ht="15" x14ac:dyDescent="0.25">
      <c r="A1890" s="3" t="s">
        <v>676</v>
      </c>
      <c r="B1890" s="3" t="s">
        <v>687</v>
      </c>
      <c r="C1890" s="3" t="s">
        <v>280</v>
      </c>
    </row>
    <row r="1891" spans="1:3" ht="15" x14ac:dyDescent="0.25">
      <c r="A1891" s="3" t="s">
        <v>135</v>
      </c>
      <c r="B1891" s="3" t="s">
        <v>687</v>
      </c>
      <c r="C1891" s="3" t="s">
        <v>280</v>
      </c>
    </row>
    <row r="1892" spans="1:3" ht="15" x14ac:dyDescent="0.25">
      <c r="A1892" s="3" t="s">
        <v>218</v>
      </c>
      <c r="B1892" s="3" t="s">
        <v>687</v>
      </c>
      <c r="C1892" s="3" t="s">
        <v>280</v>
      </c>
    </row>
    <row r="1893" spans="1:3" ht="15" x14ac:dyDescent="0.25">
      <c r="A1893" s="3" t="s">
        <v>216</v>
      </c>
      <c r="B1893" s="3" t="s">
        <v>687</v>
      </c>
      <c r="C1893" s="3" t="s">
        <v>280</v>
      </c>
    </row>
    <row r="1894" spans="1:3" ht="15" x14ac:dyDescent="0.25">
      <c r="A1894" s="3" t="s">
        <v>244</v>
      </c>
      <c r="B1894" s="3" t="s">
        <v>687</v>
      </c>
      <c r="C1894" s="3" t="s">
        <v>280</v>
      </c>
    </row>
    <row r="1895" spans="1:3" ht="15" x14ac:dyDescent="0.25">
      <c r="A1895" s="3" t="s">
        <v>142</v>
      </c>
      <c r="B1895" s="3" t="s">
        <v>687</v>
      </c>
      <c r="C1895" s="3" t="s">
        <v>280</v>
      </c>
    </row>
    <row r="1896" spans="1:3" ht="15" x14ac:dyDescent="0.25">
      <c r="A1896" s="3" t="s">
        <v>113</v>
      </c>
      <c r="B1896" s="3" t="s">
        <v>687</v>
      </c>
      <c r="C1896" s="3" t="s">
        <v>280</v>
      </c>
    </row>
    <row r="1897" spans="1:3" ht="15" x14ac:dyDescent="0.25">
      <c r="A1897" s="3" t="s">
        <v>193</v>
      </c>
      <c r="B1897" s="3" t="s">
        <v>687</v>
      </c>
      <c r="C1897" s="3" t="s">
        <v>280</v>
      </c>
    </row>
    <row r="1898" spans="1:3" ht="15" x14ac:dyDescent="0.25">
      <c r="A1898" s="3" t="s">
        <v>301</v>
      </c>
      <c r="B1898" s="3" t="s">
        <v>687</v>
      </c>
      <c r="C1898" s="3" t="s">
        <v>280</v>
      </c>
    </row>
    <row r="1899" spans="1:3" ht="15" x14ac:dyDescent="0.25">
      <c r="A1899" s="3" t="s">
        <v>350</v>
      </c>
      <c r="B1899" s="3" t="s">
        <v>687</v>
      </c>
      <c r="C1899" s="3" t="s">
        <v>280</v>
      </c>
    </row>
    <row r="1900" spans="1:3" ht="15" x14ac:dyDescent="0.25">
      <c r="A1900" s="3" t="s">
        <v>251</v>
      </c>
      <c r="B1900" s="3" t="s">
        <v>687</v>
      </c>
      <c r="C1900" s="3" t="s">
        <v>280</v>
      </c>
    </row>
    <row r="1901" spans="1:3" ht="15" x14ac:dyDescent="0.25">
      <c r="A1901" s="3" t="s">
        <v>362</v>
      </c>
      <c r="B1901" s="3" t="s">
        <v>687</v>
      </c>
      <c r="C1901" s="3" t="s">
        <v>280</v>
      </c>
    </row>
    <row r="1902" spans="1:3" ht="15" x14ac:dyDescent="0.25">
      <c r="A1902" s="3" t="s">
        <v>197</v>
      </c>
      <c r="B1902" s="3" t="s">
        <v>687</v>
      </c>
      <c r="C1902" s="3" t="s">
        <v>280</v>
      </c>
    </row>
    <row r="1903" spans="1:3" ht="15" x14ac:dyDescent="0.25">
      <c r="A1903" s="3" t="s">
        <v>46</v>
      </c>
      <c r="B1903" s="3" t="s">
        <v>687</v>
      </c>
      <c r="C1903" s="3" t="s">
        <v>280</v>
      </c>
    </row>
    <row r="1904" spans="1:3" ht="15" x14ac:dyDescent="0.25">
      <c r="A1904" s="3" t="s">
        <v>49</v>
      </c>
      <c r="B1904" s="3" t="s">
        <v>687</v>
      </c>
      <c r="C1904" s="3" t="s">
        <v>280</v>
      </c>
    </row>
    <row r="1905" spans="1:3" ht="15" x14ac:dyDescent="0.25">
      <c r="A1905" s="3" t="s">
        <v>310</v>
      </c>
      <c r="B1905" s="3" t="s">
        <v>687</v>
      </c>
      <c r="C1905" s="3" t="s">
        <v>280</v>
      </c>
    </row>
    <row r="1906" spans="1:3" ht="15" x14ac:dyDescent="0.25">
      <c r="A1906" s="3" t="s">
        <v>175</v>
      </c>
      <c r="B1906" s="3" t="s">
        <v>687</v>
      </c>
      <c r="C1906" s="3" t="s">
        <v>280</v>
      </c>
    </row>
    <row r="1907" spans="1:3" ht="15" x14ac:dyDescent="0.25">
      <c r="A1907" s="3" t="s">
        <v>319</v>
      </c>
      <c r="B1907" s="3" t="s">
        <v>687</v>
      </c>
      <c r="C1907" s="3" t="s">
        <v>280</v>
      </c>
    </row>
    <row r="1908" spans="1:3" ht="15" x14ac:dyDescent="0.25">
      <c r="A1908" s="3" t="s">
        <v>259</v>
      </c>
      <c r="B1908" s="3" t="s">
        <v>687</v>
      </c>
      <c r="C1908" s="3" t="s">
        <v>280</v>
      </c>
    </row>
    <row r="1909" spans="1:3" ht="15" x14ac:dyDescent="0.25">
      <c r="A1909" s="3" t="s">
        <v>149</v>
      </c>
      <c r="B1909" s="3" t="s">
        <v>687</v>
      </c>
      <c r="C1909" s="3" t="s">
        <v>280</v>
      </c>
    </row>
    <row r="1910" spans="1:3" ht="15" x14ac:dyDescent="0.25">
      <c r="A1910" s="3" t="s">
        <v>454</v>
      </c>
      <c r="B1910" s="3" t="s">
        <v>687</v>
      </c>
      <c r="C1910" s="3" t="s">
        <v>280</v>
      </c>
    </row>
    <row r="1911" spans="1:3" ht="15" x14ac:dyDescent="0.25">
      <c r="A1911" s="3" t="s">
        <v>337</v>
      </c>
      <c r="B1911" s="3" t="s">
        <v>687</v>
      </c>
      <c r="C1911" s="3" t="s">
        <v>280</v>
      </c>
    </row>
    <row r="1912" spans="1:3" ht="15" x14ac:dyDescent="0.25">
      <c r="A1912" s="3" t="s">
        <v>257</v>
      </c>
      <c r="B1912" s="3" t="s">
        <v>687</v>
      </c>
      <c r="C1912" s="3" t="s">
        <v>280</v>
      </c>
    </row>
    <row r="1913" spans="1:3" ht="15" x14ac:dyDescent="0.25">
      <c r="A1913" s="3" t="s">
        <v>300</v>
      </c>
      <c r="B1913" s="3" t="s">
        <v>687</v>
      </c>
      <c r="C1913" s="3" t="s">
        <v>280</v>
      </c>
    </row>
    <row r="1914" spans="1:3" ht="15" x14ac:dyDescent="0.25">
      <c r="A1914" s="3" t="s">
        <v>154</v>
      </c>
      <c r="B1914" s="3" t="s">
        <v>687</v>
      </c>
      <c r="C1914" s="3" t="s">
        <v>280</v>
      </c>
    </row>
    <row r="1915" spans="1:3" ht="15" x14ac:dyDescent="0.25">
      <c r="A1915" s="3" t="s">
        <v>653</v>
      </c>
      <c r="B1915" s="3" t="s">
        <v>687</v>
      </c>
      <c r="C1915" s="3" t="s">
        <v>280</v>
      </c>
    </row>
    <row r="1916" spans="1:3" ht="15" x14ac:dyDescent="0.25">
      <c r="A1916" s="3" t="s">
        <v>263</v>
      </c>
      <c r="B1916" s="3" t="s">
        <v>687</v>
      </c>
      <c r="C1916" s="3" t="s">
        <v>280</v>
      </c>
    </row>
    <row r="1917" spans="1:3" ht="15" x14ac:dyDescent="0.25">
      <c r="A1917" s="3" t="s">
        <v>232</v>
      </c>
      <c r="B1917" s="3" t="s">
        <v>687</v>
      </c>
      <c r="C1917" s="3" t="s">
        <v>280</v>
      </c>
    </row>
    <row r="1918" spans="1:3" ht="15" x14ac:dyDescent="0.25">
      <c r="A1918" s="3" t="s">
        <v>282</v>
      </c>
      <c r="B1918" s="3" t="s">
        <v>687</v>
      </c>
      <c r="C1918" s="3" t="s">
        <v>280</v>
      </c>
    </row>
    <row r="1919" spans="1:3" ht="15" x14ac:dyDescent="0.25">
      <c r="A1919" s="3" t="s">
        <v>264</v>
      </c>
      <c r="B1919" s="3" t="s">
        <v>687</v>
      </c>
      <c r="C1919" s="3" t="s">
        <v>280</v>
      </c>
    </row>
    <row r="1920" spans="1:3" ht="15" x14ac:dyDescent="0.25">
      <c r="A1920" s="3" t="s">
        <v>67</v>
      </c>
      <c r="B1920" s="3" t="s">
        <v>687</v>
      </c>
      <c r="C1920" s="3" t="s">
        <v>280</v>
      </c>
    </row>
    <row r="1921" spans="1:3" ht="15" x14ac:dyDescent="0.25">
      <c r="A1921" s="3" t="s">
        <v>400</v>
      </c>
      <c r="B1921" s="3" t="s">
        <v>687</v>
      </c>
      <c r="C1921" s="3" t="s">
        <v>280</v>
      </c>
    </row>
    <row r="1922" spans="1:3" ht="15" x14ac:dyDescent="0.25">
      <c r="A1922" s="3" t="s">
        <v>266</v>
      </c>
      <c r="B1922" s="3" t="s">
        <v>687</v>
      </c>
      <c r="C1922" s="3" t="s">
        <v>280</v>
      </c>
    </row>
    <row r="1923" spans="1:3" ht="15" x14ac:dyDescent="0.25">
      <c r="A1923" s="3" t="s">
        <v>267</v>
      </c>
      <c r="B1923" s="3" t="s">
        <v>687</v>
      </c>
      <c r="C1923" s="3" t="s">
        <v>280</v>
      </c>
    </row>
    <row r="1924" spans="1:3" ht="15" x14ac:dyDescent="0.25">
      <c r="A1924" s="3" t="s">
        <v>270</v>
      </c>
      <c r="B1924" s="3" t="s">
        <v>687</v>
      </c>
      <c r="C1924" s="3" t="s">
        <v>280</v>
      </c>
    </row>
    <row r="1925" spans="1:3" ht="15" x14ac:dyDescent="0.25">
      <c r="A1925" s="3" t="s">
        <v>660</v>
      </c>
      <c r="B1925" s="3" t="s">
        <v>687</v>
      </c>
      <c r="C1925" s="3" t="s">
        <v>280</v>
      </c>
    </row>
    <row r="1926" spans="1:3" ht="15" x14ac:dyDescent="0.25">
      <c r="A1926" s="3" t="s">
        <v>355</v>
      </c>
      <c r="B1926" s="3" t="s">
        <v>687</v>
      </c>
      <c r="C1926" s="3" t="s">
        <v>280</v>
      </c>
    </row>
    <row r="1927" spans="1:3" ht="15" x14ac:dyDescent="0.25">
      <c r="A1927" s="3" t="s">
        <v>162</v>
      </c>
      <c r="B1927" s="3" t="s">
        <v>687</v>
      </c>
      <c r="C1927" s="3" t="s">
        <v>280</v>
      </c>
    </row>
    <row r="1928" spans="1:3" ht="15" x14ac:dyDescent="0.25">
      <c r="A1928" s="3" t="s">
        <v>245</v>
      </c>
      <c r="B1928" s="3" t="s">
        <v>687</v>
      </c>
      <c r="C1928" s="3" t="s">
        <v>280</v>
      </c>
    </row>
    <row r="1929" spans="1:3" ht="15" x14ac:dyDescent="0.25">
      <c r="A1929" s="3" t="s">
        <v>273</v>
      </c>
      <c r="B1929" s="3" t="s">
        <v>687</v>
      </c>
      <c r="C1929" s="3" t="s">
        <v>280</v>
      </c>
    </row>
    <row r="1930" spans="1:3" ht="15" x14ac:dyDescent="0.25">
      <c r="A1930" s="3" t="s">
        <v>97</v>
      </c>
      <c r="B1930" s="3" t="s">
        <v>687</v>
      </c>
      <c r="C1930" s="3" t="s">
        <v>280</v>
      </c>
    </row>
    <row r="1931" spans="1:3" ht="15" x14ac:dyDescent="0.25">
      <c r="A1931" s="3" t="s">
        <v>163</v>
      </c>
      <c r="B1931" s="3" t="s">
        <v>687</v>
      </c>
      <c r="C1931" s="3" t="s">
        <v>280</v>
      </c>
    </row>
    <row r="1932" spans="1:3" ht="15" x14ac:dyDescent="0.25">
      <c r="A1932" s="3" t="s">
        <v>208</v>
      </c>
      <c r="B1932" s="3" t="s">
        <v>687</v>
      </c>
      <c r="C1932" s="3" t="s">
        <v>280</v>
      </c>
    </row>
    <row r="1933" spans="1:3" ht="15" x14ac:dyDescent="0.25">
      <c r="A1933" s="3" t="s">
        <v>331</v>
      </c>
      <c r="B1933" s="3" t="s">
        <v>687</v>
      </c>
      <c r="C1933" s="3" t="s">
        <v>280</v>
      </c>
    </row>
    <row r="1934" spans="1:3" ht="15" x14ac:dyDescent="0.25">
      <c r="A1934" s="3" t="s">
        <v>649</v>
      </c>
      <c r="B1934" s="3" t="s">
        <v>687</v>
      </c>
      <c r="C1934" s="3" t="s">
        <v>280</v>
      </c>
    </row>
    <row r="1935" spans="1:3" ht="15" x14ac:dyDescent="0.25">
      <c r="A1935" s="3" t="s">
        <v>181</v>
      </c>
      <c r="B1935" s="3" t="s">
        <v>687</v>
      </c>
      <c r="C1935" s="3" t="s">
        <v>280</v>
      </c>
    </row>
    <row r="1936" spans="1:3" ht="15" x14ac:dyDescent="0.25">
      <c r="A1936" s="3" t="s">
        <v>207</v>
      </c>
      <c r="B1936" s="3" t="s">
        <v>690</v>
      </c>
      <c r="C1936" s="3" t="s">
        <v>280</v>
      </c>
    </row>
    <row r="1937" spans="1:3" ht="15" x14ac:dyDescent="0.25">
      <c r="A1937" s="3" t="s">
        <v>8</v>
      </c>
      <c r="B1937" s="3" t="s">
        <v>690</v>
      </c>
      <c r="C1937" s="3" t="s">
        <v>280</v>
      </c>
    </row>
    <row r="1938" spans="1:3" ht="15" x14ac:dyDescent="0.25">
      <c r="A1938" s="3" t="s">
        <v>183</v>
      </c>
      <c r="B1938" s="3" t="s">
        <v>690</v>
      </c>
      <c r="C1938" s="3" t="s">
        <v>280</v>
      </c>
    </row>
    <row r="1939" spans="1:3" ht="15" x14ac:dyDescent="0.25">
      <c r="A1939" s="3" t="s">
        <v>408</v>
      </c>
      <c r="B1939" s="3" t="s">
        <v>690</v>
      </c>
      <c r="C1939" s="3" t="s">
        <v>280</v>
      </c>
    </row>
    <row r="1940" spans="1:3" ht="15" x14ac:dyDescent="0.25">
      <c r="A1940" s="3" t="s">
        <v>281</v>
      </c>
      <c r="B1940" s="3" t="s">
        <v>690</v>
      </c>
      <c r="C1940" s="3" t="s">
        <v>280</v>
      </c>
    </row>
    <row r="1941" spans="1:3" ht="15" x14ac:dyDescent="0.25">
      <c r="A1941" s="3" t="s">
        <v>103</v>
      </c>
      <c r="B1941" s="3" t="s">
        <v>690</v>
      </c>
      <c r="C1941" s="3" t="s">
        <v>280</v>
      </c>
    </row>
    <row r="1942" spans="1:3" ht="15" x14ac:dyDescent="0.25">
      <c r="A1942" s="3" t="s">
        <v>185</v>
      </c>
      <c r="B1942" s="3" t="s">
        <v>690</v>
      </c>
      <c r="C1942" s="3" t="s">
        <v>280</v>
      </c>
    </row>
    <row r="1943" spans="1:3" ht="15" x14ac:dyDescent="0.25">
      <c r="A1943" s="3" t="s">
        <v>283</v>
      </c>
      <c r="B1943" s="3" t="s">
        <v>690</v>
      </c>
      <c r="C1943" s="3" t="s">
        <v>280</v>
      </c>
    </row>
    <row r="1944" spans="1:3" ht="15" x14ac:dyDescent="0.25">
      <c r="A1944" s="3" t="s">
        <v>187</v>
      </c>
      <c r="B1944" s="3" t="s">
        <v>690</v>
      </c>
      <c r="C1944" s="3" t="s">
        <v>280</v>
      </c>
    </row>
    <row r="1945" spans="1:3" ht="15" x14ac:dyDescent="0.25">
      <c r="A1945" s="3" t="s">
        <v>258</v>
      </c>
      <c r="B1945" s="3" t="s">
        <v>690</v>
      </c>
      <c r="C1945" s="3" t="s">
        <v>280</v>
      </c>
    </row>
    <row r="1946" spans="1:3" ht="15" x14ac:dyDescent="0.25">
      <c r="A1946" s="3" t="s">
        <v>671</v>
      </c>
      <c r="B1946" s="3" t="s">
        <v>690</v>
      </c>
      <c r="C1946" s="3" t="s">
        <v>280</v>
      </c>
    </row>
    <row r="1947" spans="1:3" ht="15" x14ac:dyDescent="0.25">
      <c r="A1947" s="3" t="s">
        <v>284</v>
      </c>
      <c r="B1947" s="3" t="s">
        <v>690</v>
      </c>
      <c r="C1947" s="3" t="s">
        <v>280</v>
      </c>
    </row>
    <row r="1948" spans="1:3" ht="15" x14ac:dyDescent="0.25">
      <c r="A1948" s="3" t="s">
        <v>188</v>
      </c>
      <c r="B1948" s="3" t="s">
        <v>690</v>
      </c>
      <c r="C1948" s="3" t="s">
        <v>280</v>
      </c>
    </row>
    <row r="1949" spans="1:3" ht="15" x14ac:dyDescent="0.25">
      <c r="A1949" s="3" t="s">
        <v>4</v>
      </c>
      <c r="B1949" s="3" t="s">
        <v>690</v>
      </c>
      <c r="C1949" s="3" t="s">
        <v>280</v>
      </c>
    </row>
    <row r="1950" spans="1:3" ht="15" x14ac:dyDescent="0.25">
      <c r="A1950" s="3" t="s">
        <v>164</v>
      </c>
      <c r="B1950" s="3" t="s">
        <v>690</v>
      </c>
      <c r="C1950" s="3" t="s">
        <v>280</v>
      </c>
    </row>
    <row r="1951" spans="1:3" ht="15" x14ac:dyDescent="0.25">
      <c r="A1951" s="3" t="s">
        <v>189</v>
      </c>
      <c r="B1951" s="3" t="s">
        <v>690</v>
      </c>
      <c r="C1951" s="3" t="s">
        <v>280</v>
      </c>
    </row>
    <row r="1952" spans="1:3" ht="15" x14ac:dyDescent="0.25">
      <c r="A1952" s="3" t="s">
        <v>210</v>
      </c>
      <c r="B1952" s="3" t="s">
        <v>690</v>
      </c>
      <c r="C1952" s="3" t="s">
        <v>280</v>
      </c>
    </row>
    <row r="1953" spans="1:3" ht="15" x14ac:dyDescent="0.25">
      <c r="A1953" s="3" t="s">
        <v>129</v>
      </c>
      <c r="B1953" s="3" t="s">
        <v>690</v>
      </c>
      <c r="C1953" s="3" t="s">
        <v>280</v>
      </c>
    </row>
    <row r="1954" spans="1:3" ht="15" x14ac:dyDescent="0.25">
      <c r="A1954" s="3" t="s">
        <v>12</v>
      </c>
      <c r="B1954" s="3" t="s">
        <v>690</v>
      </c>
      <c r="C1954" s="3" t="s">
        <v>280</v>
      </c>
    </row>
    <row r="1955" spans="1:3" ht="15" x14ac:dyDescent="0.25">
      <c r="A1955" s="3" t="s">
        <v>484</v>
      </c>
      <c r="B1955" s="3" t="s">
        <v>690</v>
      </c>
      <c r="C1955" s="3" t="s">
        <v>280</v>
      </c>
    </row>
    <row r="1956" spans="1:3" ht="15" x14ac:dyDescent="0.25">
      <c r="A1956" s="3" t="s">
        <v>190</v>
      </c>
      <c r="B1956" s="3" t="s">
        <v>690</v>
      </c>
      <c r="C1956" s="3" t="s">
        <v>280</v>
      </c>
    </row>
    <row r="1957" spans="1:3" ht="15" x14ac:dyDescent="0.25">
      <c r="A1957" s="3" t="s">
        <v>658</v>
      </c>
      <c r="B1957" s="3" t="s">
        <v>690</v>
      </c>
      <c r="C1957" s="3" t="s">
        <v>280</v>
      </c>
    </row>
    <row r="1958" spans="1:3" ht="15" x14ac:dyDescent="0.25">
      <c r="A1958" s="3" t="s">
        <v>14</v>
      </c>
      <c r="B1958" s="3" t="s">
        <v>690</v>
      </c>
      <c r="C1958" s="3" t="s">
        <v>280</v>
      </c>
    </row>
    <row r="1959" spans="1:3" ht="15" x14ac:dyDescent="0.25">
      <c r="A1959" s="3" t="s">
        <v>486</v>
      </c>
      <c r="B1959" s="3" t="s">
        <v>690</v>
      </c>
      <c r="C1959" s="3" t="s">
        <v>280</v>
      </c>
    </row>
    <row r="1960" spans="1:3" ht="15" x14ac:dyDescent="0.25">
      <c r="A1960" s="3" t="s">
        <v>211</v>
      </c>
      <c r="B1960" s="3" t="s">
        <v>690</v>
      </c>
      <c r="C1960" s="3" t="s">
        <v>280</v>
      </c>
    </row>
    <row r="1961" spans="1:3" ht="15" x14ac:dyDescent="0.25">
      <c r="A1961" s="3" t="s">
        <v>532</v>
      </c>
      <c r="B1961" s="3" t="s">
        <v>690</v>
      </c>
      <c r="C1961" s="3" t="s">
        <v>280</v>
      </c>
    </row>
    <row r="1962" spans="1:3" ht="15" x14ac:dyDescent="0.25">
      <c r="A1962" s="3" t="s">
        <v>388</v>
      </c>
      <c r="B1962" s="3" t="s">
        <v>690</v>
      </c>
      <c r="C1962" s="3" t="s">
        <v>280</v>
      </c>
    </row>
    <row r="1963" spans="1:3" ht="15" x14ac:dyDescent="0.25">
      <c r="A1963" s="3" t="s">
        <v>292</v>
      </c>
      <c r="B1963" s="3" t="s">
        <v>690</v>
      </c>
      <c r="C1963" s="3" t="s">
        <v>280</v>
      </c>
    </row>
    <row r="1964" spans="1:3" ht="15" x14ac:dyDescent="0.25">
      <c r="A1964" s="3" t="s">
        <v>293</v>
      </c>
      <c r="B1964" s="3" t="s">
        <v>690</v>
      </c>
      <c r="C1964" s="3" t="s">
        <v>280</v>
      </c>
    </row>
    <row r="1965" spans="1:3" ht="15" x14ac:dyDescent="0.25">
      <c r="A1965" s="3" t="s">
        <v>212</v>
      </c>
      <c r="B1965" s="3" t="s">
        <v>690</v>
      </c>
      <c r="C1965" s="3" t="s">
        <v>280</v>
      </c>
    </row>
    <row r="1966" spans="1:3" ht="15" x14ac:dyDescent="0.25">
      <c r="A1966" s="3" t="s">
        <v>294</v>
      </c>
      <c r="B1966" s="3" t="s">
        <v>690</v>
      </c>
      <c r="C1966" s="3" t="s">
        <v>280</v>
      </c>
    </row>
    <row r="1967" spans="1:3" ht="15" x14ac:dyDescent="0.25">
      <c r="A1967" s="3" t="s">
        <v>295</v>
      </c>
      <c r="B1967" s="3" t="s">
        <v>690</v>
      </c>
      <c r="C1967" s="3" t="s">
        <v>280</v>
      </c>
    </row>
    <row r="1968" spans="1:3" ht="15" x14ac:dyDescent="0.25">
      <c r="A1968" s="3" t="s">
        <v>536</v>
      </c>
      <c r="B1968" s="3" t="s">
        <v>690</v>
      </c>
      <c r="C1968" s="3" t="s">
        <v>280</v>
      </c>
    </row>
    <row r="1969" spans="1:3" ht="15" x14ac:dyDescent="0.25">
      <c r="A1969" s="3" t="s">
        <v>296</v>
      </c>
      <c r="B1969" s="3" t="s">
        <v>690</v>
      </c>
      <c r="C1969" s="3" t="s">
        <v>280</v>
      </c>
    </row>
    <row r="1970" spans="1:3" ht="15" x14ac:dyDescent="0.25">
      <c r="A1970" s="3" t="s">
        <v>16</v>
      </c>
      <c r="B1970" s="3" t="s">
        <v>690</v>
      </c>
      <c r="C1970" s="3" t="s">
        <v>280</v>
      </c>
    </row>
    <row r="1971" spans="1:3" ht="15" x14ac:dyDescent="0.25">
      <c r="A1971" s="3" t="s">
        <v>464</v>
      </c>
      <c r="B1971" s="3" t="s">
        <v>690</v>
      </c>
      <c r="C1971" s="3" t="s">
        <v>280</v>
      </c>
    </row>
    <row r="1972" spans="1:3" ht="15" x14ac:dyDescent="0.25">
      <c r="A1972" s="3" t="s">
        <v>395</v>
      </c>
      <c r="B1972" s="3" t="s">
        <v>690</v>
      </c>
      <c r="C1972" s="3" t="s">
        <v>280</v>
      </c>
    </row>
    <row r="1973" spans="1:3" ht="15" x14ac:dyDescent="0.25">
      <c r="A1973" s="3" t="s">
        <v>378</v>
      </c>
      <c r="B1973" s="3" t="s">
        <v>690</v>
      </c>
      <c r="C1973" s="3" t="s">
        <v>280</v>
      </c>
    </row>
    <row r="1974" spans="1:3" ht="15" x14ac:dyDescent="0.25">
      <c r="A1974" s="3" t="s">
        <v>18</v>
      </c>
      <c r="B1974" s="3" t="s">
        <v>690</v>
      </c>
      <c r="C1974" s="3" t="s">
        <v>280</v>
      </c>
    </row>
    <row r="1975" spans="1:3" ht="15" x14ac:dyDescent="0.25">
      <c r="A1975" s="3" t="s">
        <v>20</v>
      </c>
      <c r="B1975" s="3" t="s">
        <v>690</v>
      </c>
      <c r="C1975" s="3" t="s">
        <v>280</v>
      </c>
    </row>
    <row r="1976" spans="1:3" ht="15" x14ac:dyDescent="0.25">
      <c r="A1976" s="3" t="s">
        <v>169</v>
      </c>
      <c r="B1976" s="3" t="s">
        <v>690</v>
      </c>
      <c r="C1976" s="3" t="s">
        <v>280</v>
      </c>
    </row>
    <row r="1977" spans="1:3" ht="15" x14ac:dyDescent="0.25">
      <c r="A1977" s="3" t="s">
        <v>338</v>
      </c>
      <c r="B1977" s="3" t="s">
        <v>690</v>
      </c>
      <c r="C1977" s="3" t="s">
        <v>280</v>
      </c>
    </row>
    <row r="1978" spans="1:3" ht="15" x14ac:dyDescent="0.25">
      <c r="A1978" s="3" t="s">
        <v>513</v>
      </c>
      <c r="B1978" s="3" t="s">
        <v>690</v>
      </c>
      <c r="C1978" s="3" t="s">
        <v>280</v>
      </c>
    </row>
    <row r="1979" spans="1:3" ht="15" x14ac:dyDescent="0.25">
      <c r="A1979" s="3" t="s">
        <v>533</v>
      </c>
      <c r="B1979" s="3" t="s">
        <v>690</v>
      </c>
      <c r="C1979" s="3" t="s">
        <v>280</v>
      </c>
    </row>
    <row r="1980" spans="1:3" ht="15" x14ac:dyDescent="0.25">
      <c r="A1980" s="3" t="s">
        <v>389</v>
      </c>
      <c r="B1980" s="3" t="s">
        <v>690</v>
      </c>
      <c r="C1980" s="3" t="s">
        <v>280</v>
      </c>
    </row>
    <row r="1981" spans="1:3" ht="15" x14ac:dyDescent="0.25">
      <c r="A1981" s="3" t="s">
        <v>298</v>
      </c>
      <c r="B1981" s="3" t="s">
        <v>690</v>
      </c>
      <c r="C1981" s="3" t="s">
        <v>280</v>
      </c>
    </row>
    <row r="1982" spans="1:3" ht="15" x14ac:dyDescent="0.25">
      <c r="A1982" s="3" t="s">
        <v>172</v>
      </c>
      <c r="B1982" s="3" t="s">
        <v>690</v>
      </c>
      <c r="C1982" s="3" t="s">
        <v>280</v>
      </c>
    </row>
    <row r="1983" spans="1:3" ht="15" x14ac:dyDescent="0.25">
      <c r="A1983" s="3" t="s">
        <v>466</v>
      </c>
      <c r="B1983" s="3" t="s">
        <v>690</v>
      </c>
      <c r="C1983" s="3" t="s">
        <v>280</v>
      </c>
    </row>
    <row r="1984" spans="1:3" ht="15" x14ac:dyDescent="0.25">
      <c r="A1984" s="3" t="s">
        <v>139</v>
      </c>
      <c r="B1984" s="3" t="s">
        <v>690</v>
      </c>
      <c r="C1984" s="3" t="s">
        <v>280</v>
      </c>
    </row>
    <row r="1985" spans="1:3" ht="15" x14ac:dyDescent="0.25">
      <c r="A1985" s="3" t="s">
        <v>27</v>
      </c>
      <c r="B1985" s="3" t="s">
        <v>690</v>
      </c>
      <c r="C1985" s="3" t="s">
        <v>280</v>
      </c>
    </row>
    <row r="1986" spans="1:3" ht="15" x14ac:dyDescent="0.25">
      <c r="A1986" s="3" t="s">
        <v>246</v>
      </c>
      <c r="B1986" s="3" t="s">
        <v>690</v>
      </c>
      <c r="C1986" s="3" t="s">
        <v>280</v>
      </c>
    </row>
    <row r="1987" spans="1:3" ht="15" x14ac:dyDescent="0.25">
      <c r="A1987" s="3" t="s">
        <v>516</v>
      </c>
      <c r="B1987" s="3" t="s">
        <v>690</v>
      </c>
      <c r="C1987" s="3" t="s">
        <v>280</v>
      </c>
    </row>
    <row r="1988" spans="1:3" ht="15" x14ac:dyDescent="0.25">
      <c r="A1988" s="3" t="s">
        <v>249</v>
      </c>
      <c r="B1988" s="3" t="s">
        <v>690</v>
      </c>
      <c r="C1988" s="3" t="s">
        <v>280</v>
      </c>
    </row>
    <row r="1989" spans="1:3" ht="15" x14ac:dyDescent="0.25">
      <c r="A1989" s="3" t="s">
        <v>217</v>
      </c>
      <c r="B1989" s="3" t="s">
        <v>690</v>
      </c>
      <c r="C1989" s="3" t="s">
        <v>280</v>
      </c>
    </row>
    <row r="1990" spans="1:3" ht="15" x14ac:dyDescent="0.25">
      <c r="A1990" s="3" t="s">
        <v>7</v>
      </c>
      <c r="B1990" s="3" t="s">
        <v>690</v>
      </c>
      <c r="C1990" s="3" t="s">
        <v>280</v>
      </c>
    </row>
    <row r="1991" spans="1:3" ht="15" x14ac:dyDescent="0.25">
      <c r="A1991" s="3" t="s">
        <v>302</v>
      </c>
      <c r="B1991" s="3" t="s">
        <v>690</v>
      </c>
      <c r="C1991" s="3" t="s">
        <v>280</v>
      </c>
    </row>
    <row r="1992" spans="1:3" ht="15" x14ac:dyDescent="0.25">
      <c r="A1992" s="3" t="s">
        <v>33</v>
      </c>
      <c r="B1992" s="3" t="s">
        <v>690</v>
      </c>
      <c r="C1992" s="3" t="s">
        <v>280</v>
      </c>
    </row>
    <row r="1993" spans="1:3" ht="15" x14ac:dyDescent="0.25">
      <c r="A1993" s="3" t="s">
        <v>250</v>
      </c>
      <c r="B1993" s="3" t="s">
        <v>690</v>
      </c>
      <c r="C1993" s="3" t="s">
        <v>280</v>
      </c>
    </row>
    <row r="1994" spans="1:3" ht="15" x14ac:dyDescent="0.25">
      <c r="A1994" s="3" t="s">
        <v>194</v>
      </c>
      <c r="B1994" s="3" t="s">
        <v>690</v>
      </c>
      <c r="C1994" s="3" t="s">
        <v>280</v>
      </c>
    </row>
    <row r="1995" spans="1:3" ht="15" x14ac:dyDescent="0.25">
      <c r="A1995" s="3" t="s">
        <v>195</v>
      </c>
      <c r="B1995" s="3" t="s">
        <v>690</v>
      </c>
      <c r="C1995" s="3" t="s">
        <v>280</v>
      </c>
    </row>
    <row r="1996" spans="1:3" ht="15" x14ac:dyDescent="0.25">
      <c r="A1996" s="3" t="s">
        <v>36</v>
      </c>
      <c r="B1996" s="3" t="s">
        <v>690</v>
      </c>
      <c r="C1996" s="3" t="s">
        <v>280</v>
      </c>
    </row>
    <row r="1997" spans="1:3" ht="15" x14ac:dyDescent="0.25">
      <c r="A1997" s="3" t="s">
        <v>379</v>
      </c>
      <c r="B1997" s="3" t="s">
        <v>690</v>
      </c>
      <c r="C1997" s="3" t="s">
        <v>280</v>
      </c>
    </row>
    <row r="1998" spans="1:3" ht="15" x14ac:dyDescent="0.25">
      <c r="A1998" s="3" t="s">
        <v>604</v>
      </c>
      <c r="B1998" s="3" t="s">
        <v>690</v>
      </c>
      <c r="C1998" s="3" t="s">
        <v>280</v>
      </c>
    </row>
    <row r="1999" spans="1:3" ht="15" x14ac:dyDescent="0.25">
      <c r="A1999" s="3" t="s">
        <v>380</v>
      </c>
      <c r="B1999" s="3" t="s">
        <v>690</v>
      </c>
      <c r="C1999" s="3" t="s">
        <v>280</v>
      </c>
    </row>
    <row r="2000" spans="1:3" ht="15" x14ac:dyDescent="0.25">
      <c r="A2000" s="3" t="s">
        <v>304</v>
      </c>
      <c r="B2000" s="3" t="s">
        <v>690</v>
      </c>
      <c r="C2000" s="3" t="s">
        <v>280</v>
      </c>
    </row>
    <row r="2001" spans="1:3" ht="15" x14ac:dyDescent="0.25">
      <c r="A2001" s="3" t="s">
        <v>255</v>
      </c>
      <c r="B2001" s="3" t="s">
        <v>690</v>
      </c>
      <c r="C2001" s="3" t="s">
        <v>280</v>
      </c>
    </row>
    <row r="2002" spans="1:3" ht="15" x14ac:dyDescent="0.25">
      <c r="A2002" s="3" t="s">
        <v>196</v>
      </c>
      <c r="B2002" s="3" t="s">
        <v>690</v>
      </c>
      <c r="C2002" s="3" t="s">
        <v>280</v>
      </c>
    </row>
    <row r="2003" spans="1:3" ht="15" x14ac:dyDescent="0.25">
      <c r="A2003" s="3" t="s">
        <v>381</v>
      </c>
      <c r="B2003" s="3" t="s">
        <v>690</v>
      </c>
      <c r="C2003" s="3" t="s">
        <v>280</v>
      </c>
    </row>
    <row r="2004" spans="1:3" ht="15" x14ac:dyDescent="0.25">
      <c r="A2004" s="3" t="s">
        <v>308</v>
      </c>
      <c r="B2004" s="3" t="s">
        <v>690</v>
      </c>
      <c r="C2004" s="3" t="s">
        <v>280</v>
      </c>
    </row>
    <row r="2005" spans="1:3" ht="15" x14ac:dyDescent="0.25">
      <c r="A2005" s="3" t="s">
        <v>363</v>
      </c>
      <c r="B2005" s="3" t="s">
        <v>690</v>
      </c>
      <c r="C2005" s="3" t="s">
        <v>280</v>
      </c>
    </row>
    <row r="2006" spans="1:3" ht="15" x14ac:dyDescent="0.25">
      <c r="A2006" s="3" t="s">
        <v>137</v>
      </c>
      <c r="B2006" s="3" t="s">
        <v>690</v>
      </c>
      <c r="C2006" s="3" t="s">
        <v>280</v>
      </c>
    </row>
    <row r="2007" spans="1:3" ht="15" x14ac:dyDescent="0.25">
      <c r="A2007" s="3" t="s">
        <v>340</v>
      </c>
      <c r="B2007" s="3" t="s">
        <v>690</v>
      </c>
      <c r="C2007" s="3" t="s">
        <v>280</v>
      </c>
    </row>
    <row r="2008" spans="1:3" ht="15" x14ac:dyDescent="0.25">
      <c r="A2008" s="3" t="s">
        <v>545</v>
      </c>
      <c r="B2008" s="3" t="s">
        <v>690</v>
      </c>
      <c r="C2008" s="3" t="s">
        <v>280</v>
      </c>
    </row>
    <row r="2009" spans="1:3" ht="15" x14ac:dyDescent="0.25">
      <c r="A2009" s="3" t="s">
        <v>521</v>
      </c>
      <c r="B2009" s="3" t="s">
        <v>690</v>
      </c>
      <c r="C2009" s="3" t="s">
        <v>280</v>
      </c>
    </row>
    <row r="2010" spans="1:3" ht="15" x14ac:dyDescent="0.25">
      <c r="A2010" s="3" t="s">
        <v>221</v>
      </c>
      <c r="B2010" s="3" t="s">
        <v>690</v>
      </c>
      <c r="C2010" s="3" t="s">
        <v>280</v>
      </c>
    </row>
    <row r="2011" spans="1:3" ht="15" x14ac:dyDescent="0.25">
      <c r="A2011" s="3" t="s">
        <v>222</v>
      </c>
      <c r="B2011" s="3" t="s">
        <v>690</v>
      </c>
      <c r="C2011" s="3" t="s">
        <v>280</v>
      </c>
    </row>
    <row r="2012" spans="1:3" ht="15" x14ac:dyDescent="0.25">
      <c r="A2012" s="3" t="s">
        <v>316</v>
      </c>
      <c r="B2012" s="3" t="s">
        <v>690</v>
      </c>
      <c r="C2012" s="3" t="s">
        <v>280</v>
      </c>
    </row>
    <row r="2013" spans="1:3" ht="15" x14ac:dyDescent="0.25">
      <c r="A2013" s="3" t="s">
        <v>417</v>
      </c>
      <c r="B2013" s="3" t="s">
        <v>690</v>
      </c>
      <c r="C2013" s="3" t="s">
        <v>280</v>
      </c>
    </row>
    <row r="2014" spans="1:3" ht="15" x14ac:dyDescent="0.25">
      <c r="A2014" s="3" t="s">
        <v>177</v>
      </c>
      <c r="B2014" s="3" t="s">
        <v>690</v>
      </c>
      <c r="C2014" s="3" t="s">
        <v>280</v>
      </c>
    </row>
    <row r="2015" spans="1:3" ht="15" x14ac:dyDescent="0.25">
      <c r="A2015" s="3" t="s">
        <v>397</v>
      </c>
      <c r="B2015" s="3" t="s">
        <v>690</v>
      </c>
      <c r="C2015" s="3" t="s">
        <v>280</v>
      </c>
    </row>
    <row r="2016" spans="1:3" ht="15" x14ac:dyDescent="0.25">
      <c r="A2016" s="3" t="s">
        <v>178</v>
      </c>
      <c r="B2016" s="3" t="s">
        <v>690</v>
      </c>
      <c r="C2016" s="3" t="s">
        <v>280</v>
      </c>
    </row>
    <row r="2017" spans="1:3" ht="15" x14ac:dyDescent="0.25">
      <c r="A2017" s="3" t="s">
        <v>52</v>
      </c>
      <c r="B2017" s="3" t="s">
        <v>690</v>
      </c>
      <c r="C2017" s="3" t="s">
        <v>280</v>
      </c>
    </row>
    <row r="2018" spans="1:3" ht="15" x14ac:dyDescent="0.25">
      <c r="A2018" s="3" t="s">
        <v>317</v>
      </c>
      <c r="B2018" s="3" t="s">
        <v>690</v>
      </c>
      <c r="C2018" s="3" t="s">
        <v>280</v>
      </c>
    </row>
    <row r="2019" spans="1:3" ht="15" x14ac:dyDescent="0.25">
      <c r="A2019" s="3" t="s">
        <v>180</v>
      </c>
      <c r="B2019" s="3" t="s">
        <v>690</v>
      </c>
      <c r="C2019" s="3" t="s">
        <v>280</v>
      </c>
    </row>
    <row r="2020" spans="1:3" ht="15" x14ac:dyDescent="0.25">
      <c r="A2020" s="3" t="s">
        <v>366</v>
      </c>
      <c r="B2020" s="3" t="s">
        <v>690</v>
      </c>
      <c r="C2020" s="3" t="s">
        <v>280</v>
      </c>
    </row>
    <row r="2021" spans="1:3" ht="15" x14ac:dyDescent="0.25">
      <c r="A2021" s="3" t="s">
        <v>341</v>
      </c>
      <c r="B2021" s="3" t="s">
        <v>690</v>
      </c>
      <c r="C2021" s="3" t="s">
        <v>280</v>
      </c>
    </row>
    <row r="2022" spans="1:3" ht="15" x14ac:dyDescent="0.25">
      <c r="A2022" s="3" t="s">
        <v>260</v>
      </c>
      <c r="B2022" s="3" t="s">
        <v>690</v>
      </c>
      <c r="C2022" s="3" t="s">
        <v>280</v>
      </c>
    </row>
    <row r="2023" spans="1:3" ht="15" x14ac:dyDescent="0.25">
      <c r="A2023" s="3" t="s">
        <v>223</v>
      </c>
      <c r="B2023" s="3" t="s">
        <v>690</v>
      </c>
      <c r="C2023" s="3" t="s">
        <v>280</v>
      </c>
    </row>
    <row r="2024" spans="1:3" ht="15" x14ac:dyDescent="0.25">
      <c r="A2024" s="3" t="s">
        <v>468</v>
      </c>
      <c r="B2024" s="3" t="s">
        <v>690</v>
      </c>
      <c r="C2024" s="3" t="s">
        <v>280</v>
      </c>
    </row>
    <row r="2025" spans="1:3" ht="15" x14ac:dyDescent="0.25">
      <c r="A2025" s="3" t="s">
        <v>150</v>
      </c>
      <c r="B2025" s="3" t="s">
        <v>690</v>
      </c>
      <c r="C2025" s="3" t="s">
        <v>280</v>
      </c>
    </row>
    <row r="2026" spans="1:3" ht="15" x14ac:dyDescent="0.25">
      <c r="A2026" s="3" t="s">
        <v>108</v>
      </c>
      <c r="B2026" s="3" t="s">
        <v>690</v>
      </c>
      <c r="C2026" s="3" t="s">
        <v>280</v>
      </c>
    </row>
    <row r="2027" spans="1:3" ht="15" x14ac:dyDescent="0.25">
      <c r="A2027" s="3" t="s">
        <v>471</v>
      </c>
      <c r="B2027" s="3" t="s">
        <v>690</v>
      </c>
      <c r="C2027" s="3" t="s">
        <v>280</v>
      </c>
    </row>
    <row r="2028" spans="1:3" ht="15" x14ac:dyDescent="0.25">
      <c r="A2028" s="3" t="s">
        <v>261</v>
      </c>
      <c r="B2028" s="3" t="s">
        <v>690</v>
      </c>
      <c r="C2028" s="3" t="s">
        <v>280</v>
      </c>
    </row>
    <row r="2029" spans="1:3" ht="15" x14ac:dyDescent="0.25">
      <c r="A2029" s="3" t="s">
        <v>109</v>
      </c>
      <c r="B2029" s="3" t="s">
        <v>690</v>
      </c>
      <c r="C2029" s="3" t="s">
        <v>280</v>
      </c>
    </row>
    <row r="2030" spans="1:3" ht="15" x14ac:dyDescent="0.25">
      <c r="A2030" s="3" t="s">
        <v>353</v>
      </c>
      <c r="B2030" s="3" t="s">
        <v>690</v>
      </c>
      <c r="C2030" s="3" t="s">
        <v>280</v>
      </c>
    </row>
    <row r="2031" spans="1:3" ht="15" x14ac:dyDescent="0.25">
      <c r="A2031" s="3" t="s">
        <v>367</v>
      </c>
      <c r="B2031" s="3" t="s">
        <v>690</v>
      </c>
      <c r="C2031" s="3" t="s">
        <v>280</v>
      </c>
    </row>
    <row r="2032" spans="1:3" ht="15" x14ac:dyDescent="0.25">
      <c r="A2032" s="3" t="s">
        <v>111</v>
      </c>
      <c r="B2032" s="3" t="s">
        <v>690</v>
      </c>
      <c r="C2032" s="3" t="s">
        <v>280</v>
      </c>
    </row>
    <row r="2033" spans="1:3" ht="15" x14ac:dyDescent="0.25">
      <c r="A2033" s="3" t="s">
        <v>59</v>
      </c>
      <c r="B2033" s="3" t="s">
        <v>690</v>
      </c>
      <c r="C2033" s="3" t="s">
        <v>280</v>
      </c>
    </row>
    <row r="2034" spans="1:3" ht="15" x14ac:dyDescent="0.25">
      <c r="A2034" s="3" t="s">
        <v>390</v>
      </c>
      <c r="B2034" s="3" t="s">
        <v>690</v>
      </c>
      <c r="C2034" s="3" t="s">
        <v>280</v>
      </c>
    </row>
    <row r="2035" spans="1:3" ht="15" x14ac:dyDescent="0.25">
      <c r="A2035" s="3" t="s">
        <v>306</v>
      </c>
      <c r="B2035" s="3" t="s">
        <v>690</v>
      </c>
      <c r="C2035" s="3" t="s">
        <v>280</v>
      </c>
    </row>
    <row r="2036" spans="1:3" ht="15" x14ac:dyDescent="0.25">
      <c r="A2036" s="3" t="s">
        <v>321</v>
      </c>
      <c r="B2036" s="3" t="s">
        <v>690</v>
      </c>
      <c r="C2036" s="3" t="s">
        <v>280</v>
      </c>
    </row>
    <row r="2037" spans="1:3" ht="15" x14ac:dyDescent="0.25">
      <c r="A2037" s="3" t="s">
        <v>343</v>
      </c>
      <c r="B2037" s="3" t="s">
        <v>690</v>
      </c>
      <c r="C2037" s="3" t="s">
        <v>280</v>
      </c>
    </row>
    <row r="2038" spans="1:3" ht="15" x14ac:dyDescent="0.25">
      <c r="A2038" s="3" t="s">
        <v>70</v>
      </c>
      <c r="B2038" s="3" t="s">
        <v>690</v>
      </c>
      <c r="C2038" s="3" t="s">
        <v>280</v>
      </c>
    </row>
    <row r="2039" spans="1:3" ht="15" x14ac:dyDescent="0.25">
      <c r="A2039" s="3" t="s">
        <v>72</v>
      </c>
      <c r="B2039" s="3" t="s">
        <v>690</v>
      </c>
      <c r="C2039" s="3" t="s">
        <v>280</v>
      </c>
    </row>
    <row r="2040" spans="1:3" ht="15" x14ac:dyDescent="0.25">
      <c r="A2040" s="3" t="s">
        <v>265</v>
      </c>
      <c r="B2040" s="3" t="s">
        <v>690</v>
      </c>
      <c r="C2040" s="3" t="s">
        <v>280</v>
      </c>
    </row>
    <row r="2041" spans="1:3" ht="15" x14ac:dyDescent="0.25">
      <c r="A2041" s="3" t="s">
        <v>158</v>
      </c>
      <c r="B2041" s="3" t="s">
        <v>690</v>
      </c>
      <c r="C2041" s="3" t="s">
        <v>280</v>
      </c>
    </row>
    <row r="2042" spans="1:3" ht="15" x14ac:dyDescent="0.25">
      <c r="A2042" s="3" t="s">
        <v>226</v>
      </c>
      <c r="B2042" s="3" t="s">
        <v>690</v>
      </c>
      <c r="C2042" s="3" t="s">
        <v>280</v>
      </c>
    </row>
    <row r="2043" spans="1:3" ht="15" x14ac:dyDescent="0.25">
      <c r="A2043" s="3" t="s">
        <v>75</v>
      </c>
      <c r="B2043" s="3" t="s">
        <v>690</v>
      </c>
      <c r="C2043" s="3" t="s">
        <v>280</v>
      </c>
    </row>
    <row r="2044" spans="1:3" ht="15" x14ac:dyDescent="0.25">
      <c r="A2044" s="3" t="s">
        <v>529</v>
      </c>
      <c r="B2044" s="3" t="s">
        <v>690</v>
      </c>
      <c r="C2044" s="3" t="s">
        <v>280</v>
      </c>
    </row>
    <row r="2045" spans="1:3" ht="15" x14ac:dyDescent="0.25">
      <c r="A2045" s="3" t="s">
        <v>375</v>
      </c>
      <c r="B2045" s="3" t="s">
        <v>690</v>
      </c>
      <c r="C2045" s="3" t="s">
        <v>280</v>
      </c>
    </row>
    <row r="2046" spans="1:3" ht="15" x14ac:dyDescent="0.25">
      <c r="A2046" s="3" t="s">
        <v>391</v>
      </c>
      <c r="B2046" s="3" t="s">
        <v>690</v>
      </c>
      <c r="C2046" s="3" t="s">
        <v>280</v>
      </c>
    </row>
    <row r="2047" spans="1:3" ht="15" x14ac:dyDescent="0.25">
      <c r="A2047" s="3" t="s">
        <v>202</v>
      </c>
      <c r="B2047" s="3" t="s">
        <v>690</v>
      </c>
      <c r="C2047" s="3" t="s">
        <v>280</v>
      </c>
    </row>
    <row r="2048" spans="1:3" ht="15" x14ac:dyDescent="0.25">
      <c r="A2048" s="3" t="s">
        <v>118</v>
      </c>
      <c r="B2048" s="3" t="s">
        <v>690</v>
      </c>
      <c r="C2048" s="3" t="s">
        <v>280</v>
      </c>
    </row>
    <row r="2049" spans="1:3" ht="15" x14ac:dyDescent="0.25">
      <c r="A2049" s="3" t="s">
        <v>269</v>
      </c>
      <c r="B2049" s="3" t="s">
        <v>690</v>
      </c>
      <c r="C2049" s="3" t="s">
        <v>280</v>
      </c>
    </row>
    <row r="2050" spans="1:3" ht="15" x14ac:dyDescent="0.25">
      <c r="A2050" s="3" t="s">
        <v>161</v>
      </c>
      <c r="B2050" s="3" t="s">
        <v>690</v>
      </c>
      <c r="C2050" s="3" t="s">
        <v>280</v>
      </c>
    </row>
    <row r="2051" spans="1:3" ht="15" x14ac:dyDescent="0.25">
      <c r="A2051" s="3" t="s">
        <v>271</v>
      </c>
      <c r="B2051" s="3" t="s">
        <v>690</v>
      </c>
      <c r="C2051" s="3" t="s">
        <v>280</v>
      </c>
    </row>
    <row r="2052" spans="1:3" ht="15" x14ac:dyDescent="0.25">
      <c r="A2052" s="3" t="s">
        <v>327</v>
      </c>
      <c r="B2052" s="3" t="s">
        <v>690</v>
      </c>
      <c r="C2052" s="3" t="s">
        <v>280</v>
      </c>
    </row>
    <row r="2053" spans="1:3" ht="15" x14ac:dyDescent="0.25">
      <c r="A2053" s="3" t="s">
        <v>95</v>
      </c>
      <c r="B2053" s="3" t="s">
        <v>690</v>
      </c>
      <c r="C2053" s="3" t="s">
        <v>280</v>
      </c>
    </row>
    <row r="2054" spans="1:3" ht="15" x14ac:dyDescent="0.25">
      <c r="A2054" s="3" t="s">
        <v>382</v>
      </c>
      <c r="B2054" s="3" t="s">
        <v>690</v>
      </c>
      <c r="C2054" s="3" t="s">
        <v>280</v>
      </c>
    </row>
    <row r="2055" spans="1:3" ht="15" x14ac:dyDescent="0.25">
      <c r="A2055" s="3" t="s">
        <v>384</v>
      </c>
      <c r="B2055" s="3" t="s">
        <v>690</v>
      </c>
      <c r="C2055" s="3" t="s">
        <v>280</v>
      </c>
    </row>
    <row r="2056" spans="1:3" ht="15" x14ac:dyDescent="0.25">
      <c r="A2056" s="3" t="s">
        <v>376</v>
      </c>
      <c r="B2056" s="3" t="s">
        <v>690</v>
      </c>
      <c r="C2056" s="3" t="s">
        <v>280</v>
      </c>
    </row>
    <row r="2057" spans="1:3" ht="15" x14ac:dyDescent="0.25">
      <c r="A2057" s="3" t="s">
        <v>368</v>
      </c>
      <c r="B2057" s="3" t="s">
        <v>690</v>
      </c>
      <c r="C2057" s="3" t="s">
        <v>280</v>
      </c>
    </row>
    <row r="2058" spans="1:3" ht="15" x14ac:dyDescent="0.25">
      <c r="A2058" s="3" t="s">
        <v>228</v>
      </c>
      <c r="B2058" s="3" t="s">
        <v>690</v>
      </c>
      <c r="C2058" s="3" t="s">
        <v>280</v>
      </c>
    </row>
    <row r="2059" spans="1:3" ht="15" x14ac:dyDescent="0.25">
      <c r="A2059" s="3" t="s">
        <v>669</v>
      </c>
      <c r="B2059" s="3" t="s">
        <v>690</v>
      </c>
      <c r="C2059" s="3" t="s">
        <v>280</v>
      </c>
    </row>
    <row r="2060" spans="1:3" ht="15" x14ac:dyDescent="0.25">
      <c r="A2060" s="3" t="s">
        <v>595</v>
      </c>
      <c r="B2060" s="3" t="s">
        <v>690</v>
      </c>
      <c r="C2060" s="3" t="s">
        <v>280</v>
      </c>
    </row>
    <row r="2061" spans="1:3" ht="15" x14ac:dyDescent="0.25">
      <c r="A2061" s="3" t="s">
        <v>230</v>
      </c>
      <c r="B2061" s="3" t="s">
        <v>690</v>
      </c>
      <c r="C2061" s="3" t="s">
        <v>280</v>
      </c>
    </row>
    <row r="2062" spans="1:3" ht="15" x14ac:dyDescent="0.25">
      <c r="A2062" s="3" t="s">
        <v>333</v>
      </c>
      <c r="B2062" s="3" t="s">
        <v>690</v>
      </c>
      <c r="C2062" s="3" t="s">
        <v>280</v>
      </c>
    </row>
    <row r="2063" spans="1:3" ht="15" x14ac:dyDescent="0.25">
      <c r="A2063" s="3" t="s">
        <v>508</v>
      </c>
      <c r="B2063" s="3" t="s">
        <v>690</v>
      </c>
      <c r="C2063" s="3" t="s">
        <v>280</v>
      </c>
    </row>
    <row r="2064" spans="1:3" ht="15" x14ac:dyDescent="0.25">
      <c r="A2064" s="3" t="s">
        <v>119</v>
      </c>
      <c r="B2064" s="3" t="s">
        <v>690</v>
      </c>
      <c r="C2064" s="3" t="s">
        <v>280</v>
      </c>
    </row>
    <row r="2065" spans="1:3" ht="15" x14ac:dyDescent="0.25">
      <c r="A2065" s="3" t="s">
        <v>275</v>
      </c>
      <c r="B2065" s="3" t="s">
        <v>690</v>
      </c>
      <c r="C2065" s="3" t="s">
        <v>280</v>
      </c>
    </row>
    <row r="2066" spans="1:3" ht="15" x14ac:dyDescent="0.25">
      <c r="A2066" s="3" t="s">
        <v>101</v>
      </c>
      <c r="B2066" s="3" t="s">
        <v>690</v>
      </c>
      <c r="C2066" s="3" t="s">
        <v>280</v>
      </c>
    </row>
    <row r="2067" spans="1:3" ht="15" x14ac:dyDescent="0.25">
      <c r="A2067" s="3" t="s">
        <v>530</v>
      </c>
      <c r="B2067" s="3" t="s">
        <v>690</v>
      </c>
      <c r="C2067" s="3" t="s">
        <v>280</v>
      </c>
    </row>
    <row r="2068" spans="1:3" ht="15" x14ac:dyDescent="0.25">
      <c r="A2068" s="3" t="s">
        <v>145</v>
      </c>
      <c r="B2068" s="3" t="s">
        <v>690</v>
      </c>
      <c r="C2068" s="3" t="s">
        <v>280</v>
      </c>
    </row>
    <row r="2069" spans="1:3" ht="15" x14ac:dyDescent="0.25">
      <c r="A2069" s="3" t="s">
        <v>276</v>
      </c>
      <c r="B2069" s="3" t="s">
        <v>690</v>
      </c>
      <c r="C2069" s="3" t="s">
        <v>280</v>
      </c>
    </row>
    <row r="2070" spans="1:3" ht="15" x14ac:dyDescent="0.25">
      <c r="A2070" s="3" t="s">
        <v>102</v>
      </c>
      <c r="B2070" s="3" t="s">
        <v>690</v>
      </c>
      <c r="C2070" s="3" t="s">
        <v>280</v>
      </c>
    </row>
    <row r="2071" spans="1:3" ht="15" x14ac:dyDescent="0.25">
      <c r="A2071" s="3" t="s">
        <v>405</v>
      </c>
      <c r="B2071" s="3" t="s">
        <v>690</v>
      </c>
      <c r="C2071" s="3" t="s">
        <v>280</v>
      </c>
    </row>
    <row r="2072" spans="1:3" ht="15" x14ac:dyDescent="0.25">
      <c r="A2072" s="3" t="s">
        <v>182</v>
      </c>
      <c r="B2072" s="3" t="s">
        <v>690</v>
      </c>
      <c r="C2072" s="3" t="s">
        <v>280</v>
      </c>
    </row>
    <row r="2073" spans="1:3" ht="15" x14ac:dyDescent="0.25">
      <c r="A2073" s="3" t="s">
        <v>131</v>
      </c>
      <c r="B2073" s="3" t="s">
        <v>690</v>
      </c>
      <c r="C2073" s="3" t="s">
        <v>280</v>
      </c>
    </row>
    <row r="2074" spans="1:3" ht="15" x14ac:dyDescent="0.25">
      <c r="A2074" s="3" t="s">
        <v>613</v>
      </c>
      <c r="B2074" s="3" t="s">
        <v>690</v>
      </c>
      <c r="C2074" s="3" t="s">
        <v>280</v>
      </c>
    </row>
    <row r="2075" spans="1:3" ht="15" x14ac:dyDescent="0.25">
      <c r="A2075" s="3" t="s">
        <v>122</v>
      </c>
      <c r="B2075" s="3" t="s">
        <v>690</v>
      </c>
      <c r="C2075" s="3" t="s">
        <v>280</v>
      </c>
    </row>
    <row r="2076" spans="1:3" ht="15" x14ac:dyDescent="0.25">
      <c r="A2076" s="3" t="s">
        <v>278</v>
      </c>
      <c r="B2076" s="3" t="s">
        <v>690</v>
      </c>
      <c r="C2076" s="3" t="s">
        <v>280</v>
      </c>
    </row>
    <row r="2077" spans="1:3" ht="15" x14ac:dyDescent="0.25">
      <c r="A2077" s="3" t="s">
        <v>683</v>
      </c>
      <c r="B2077" s="3" t="s">
        <v>696</v>
      </c>
      <c r="C2077" s="3" t="s">
        <v>280</v>
      </c>
    </row>
    <row r="2078" spans="1:3" ht="15" x14ac:dyDescent="0.25">
      <c r="A2078" s="3" t="s">
        <v>124</v>
      </c>
      <c r="B2078" s="3" t="s">
        <v>696</v>
      </c>
      <c r="C2078" s="3" t="s">
        <v>280</v>
      </c>
    </row>
    <row r="2079" spans="1:3" ht="15" x14ac:dyDescent="0.25">
      <c r="A2079" s="3" t="s">
        <v>11</v>
      </c>
      <c r="B2079" s="3" t="s">
        <v>696</v>
      </c>
      <c r="C2079" s="3" t="s">
        <v>280</v>
      </c>
    </row>
    <row r="2080" spans="1:3" ht="15" x14ac:dyDescent="0.25">
      <c r="A2080" s="3" t="s">
        <v>285</v>
      </c>
      <c r="B2080" s="3" t="s">
        <v>696</v>
      </c>
      <c r="C2080" s="3" t="s">
        <v>280</v>
      </c>
    </row>
    <row r="2081" spans="1:3" ht="15" x14ac:dyDescent="0.25">
      <c r="A2081" s="3" t="s">
        <v>286</v>
      </c>
      <c r="B2081" s="3" t="s">
        <v>696</v>
      </c>
      <c r="C2081" s="3" t="s">
        <v>280</v>
      </c>
    </row>
    <row r="2082" spans="1:3" ht="15" x14ac:dyDescent="0.25">
      <c r="A2082" s="3" t="s">
        <v>410</v>
      </c>
      <c r="B2082" s="3" t="s">
        <v>696</v>
      </c>
      <c r="C2082" s="3" t="s">
        <v>280</v>
      </c>
    </row>
    <row r="2083" spans="1:3" ht="15" x14ac:dyDescent="0.25">
      <c r="A2083" s="3" t="s">
        <v>288</v>
      </c>
      <c r="B2083" s="3" t="s">
        <v>696</v>
      </c>
      <c r="C2083" s="3" t="s">
        <v>280</v>
      </c>
    </row>
    <row r="2084" spans="1:3" ht="15" x14ac:dyDescent="0.25">
      <c r="A2084" s="3" t="s">
        <v>13</v>
      </c>
      <c r="B2084" s="3" t="s">
        <v>696</v>
      </c>
      <c r="C2084" s="3" t="s">
        <v>280</v>
      </c>
    </row>
    <row r="2085" spans="1:3" ht="15" x14ac:dyDescent="0.25">
      <c r="A2085" s="3" t="s">
        <v>289</v>
      </c>
      <c r="B2085" s="3" t="s">
        <v>696</v>
      </c>
      <c r="C2085" s="3" t="s">
        <v>280</v>
      </c>
    </row>
    <row r="2086" spans="1:3" ht="15" x14ac:dyDescent="0.25">
      <c r="A2086" s="3" t="s">
        <v>374</v>
      </c>
      <c r="B2086" s="3" t="s">
        <v>696</v>
      </c>
      <c r="C2086" s="3" t="s">
        <v>280</v>
      </c>
    </row>
    <row r="2087" spans="1:3" ht="15" x14ac:dyDescent="0.25">
      <c r="A2087" s="3" t="s">
        <v>106</v>
      </c>
      <c r="B2087" s="3" t="s">
        <v>696</v>
      </c>
      <c r="C2087" s="3" t="s">
        <v>280</v>
      </c>
    </row>
    <row r="2088" spans="1:3" ht="15" x14ac:dyDescent="0.25">
      <c r="A2088" s="3" t="s">
        <v>239</v>
      </c>
      <c r="B2088" s="3" t="s">
        <v>696</v>
      </c>
      <c r="C2088" s="3" t="s">
        <v>280</v>
      </c>
    </row>
    <row r="2089" spans="1:3" ht="15" x14ac:dyDescent="0.25">
      <c r="A2089" s="3" t="s">
        <v>138</v>
      </c>
      <c r="B2089" s="3" t="s">
        <v>696</v>
      </c>
      <c r="C2089" s="3" t="s">
        <v>280</v>
      </c>
    </row>
    <row r="2090" spans="1:3" ht="15" x14ac:dyDescent="0.25">
      <c r="A2090" s="3" t="s">
        <v>214</v>
      </c>
      <c r="B2090" s="3" t="s">
        <v>696</v>
      </c>
      <c r="C2090" s="3" t="s">
        <v>280</v>
      </c>
    </row>
    <row r="2091" spans="1:3" ht="15" x14ac:dyDescent="0.25">
      <c r="A2091" s="3" t="s">
        <v>22</v>
      </c>
      <c r="B2091" s="3" t="s">
        <v>696</v>
      </c>
      <c r="C2091" s="3" t="s">
        <v>280</v>
      </c>
    </row>
    <row r="2092" spans="1:3" ht="15" x14ac:dyDescent="0.25">
      <c r="A2092" s="3" t="s">
        <v>297</v>
      </c>
      <c r="B2092" s="3" t="s">
        <v>696</v>
      </c>
      <c r="C2092" s="3" t="s">
        <v>280</v>
      </c>
    </row>
    <row r="2093" spans="1:3" ht="15" x14ac:dyDescent="0.25">
      <c r="A2093" s="3" t="s">
        <v>170</v>
      </c>
      <c r="B2093" s="3" t="s">
        <v>696</v>
      </c>
      <c r="C2093" s="3" t="s">
        <v>280</v>
      </c>
    </row>
    <row r="2094" spans="1:3" ht="15" x14ac:dyDescent="0.25">
      <c r="A2094" s="3" t="s">
        <v>25</v>
      </c>
      <c r="B2094" s="3" t="s">
        <v>696</v>
      </c>
      <c r="C2094" s="3" t="s">
        <v>280</v>
      </c>
    </row>
    <row r="2095" spans="1:3" ht="15" x14ac:dyDescent="0.25">
      <c r="A2095" s="3" t="s">
        <v>242</v>
      </c>
      <c r="B2095" s="3" t="s">
        <v>696</v>
      </c>
      <c r="C2095" s="3" t="s">
        <v>280</v>
      </c>
    </row>
    <row r="2096" spans="1:3" ht="15" x14ac:dyDescent="0.25">
      <c r="A2096" s="3" t="s">
        <v>243</v>
      </c>
      <c r="B2096" s="3" t="s">
        <v>696</v>
      </c>
      <c r="C2096" s="3" t="s">
        <v>280</v>
      </c>
    </row>
    <row r="2097" spans="1:3" ht="15" x14ac:dyDescent="0.25">
      <c r="A2097" s="3" t="s">
        <v>240</v>
      </c>
      <c r="B2097" s="3" t="s">
        <v>696</v>
      </c>
      <c r="C2097" s="3" t="s">
        <v>280</v>
      </c>
    </row>
    <row r="2098" spans="1:3" ht="15" x14ac:dyDescent="0.25">
      <c r="A2098" s="3" t="s">
        <v>634</v>
      </c>
      <c r="B2098" s="3" t="s">
        <v>696</v>
      </c>
      <c r="C2098" s="3" t="s">
        <v>280</v>
      </c>
    </row>
    <row r="2099" spans="1:3" ht="15" x14ac:dyDescent="0.25">
      <c r="A2099" s="3" t="s">
        <v>541</v>
      </c>
      <c r="B2099" s="3" t="s">
        <v>696</v>
      </c>
      <c r="C2099" s="3" t="s">
        <v>280</v>
      </c>
    </row>
    <row r="2100" spans="1:3" ht="15" x14ac:dyDescent="0.25">
      <c r="A2100" s="3" t="s">
        <v>247</v>
      </c>
      <c r="B2100" s="3" t="s">
        <v>696</v>
      </c>
      <c r="C2100" s="3" t="s">
        <v>280</v>
      </c>
    </row>
    <row r="2101" spans="1:3" ht="15" x14ac:dyDescent="0.25">
      <c r="A2101" s="3" t="s">
        <v>299</v>
      </c>
      <c r="B2101" s="3" t="s">
        <v>696</v>
      </c>
      <c r="C2101" s="3" t="s">
        <v>280</v>
      </c>
    </row>
    <row r="2102" spans="1:3" ht="15" x14ac:dyDescent="0.25">
      <c r="A2102" s="3" t="s">
        <v>643</v>
      </c>
      <c r="B2102" s="3" t="s">
        <v>696</v>
      </c>
      <c r="C2102" s="3" t="s">
        <v>280</v>
      </c>
    </row>
    <row r="2103" spans="1:3" ht="15" x14ac:dyDescent="0.25">
      <c r="A2103" s="3" t="s">
        <v>191</v>
      </c>
      <c r="B2103" s="3" t="s">
        <v>696</v>
      </c>
      <c r="C2103" s="3" t="s">
        <v>280</v>
      </c>
    </row>
    <row r="2104" spans="1:3" ht="15" x14ac:dyDescent="0.25">
      <c r="A2104" s="3" t="s">
        <v>253</v>
      </c>
      <c r="B2104" s="3" t="s">
        <v>696</v>
      </c>
      <c r="C2104" s="3" t="s">
        <v>280</v>
      </c>
    </row>
    <row r="2105" spans="1:3" ht="15" x14ac:dyDescent="0.25">
      <c r="A2105" s="3" t="s">
        <v>655</v>
      </c>
      <c r="B2105" s="3" t="s">
        <v>696</v>
      </c>
      <c r="C2105" s="3" t="s">
        <v>280</v>
      </c>
    </row>
    <row r="2106" spans="1:3" ht="15" x14ac:dyDescent="0.25">
      <c r="A2106" s="3" t="s">
        <v>667</v>
      </c>
      <c r="B2106" s="3" t="s">
        <v>696</v>
      </c>
      <c r="C2106" s="3" t="s">
        <v>280</v>
      </c>
    </row>
    <row r="2107" spans="1:3" ht="15" x14ac:dyDescent="0.25">
      <c r="A2107" s="3" t="s">
        <v>451</v>
      </c>
      <c r="B2107" s="3" t="s">
        <v>696</v>
      </c>
      <c r="C2107" s="3" t="s">
        <v>280</v>
      </c>
    </row>
    <row r="2108" spans="1:3" ht="15" x14ac:dyDescent="0.25">
      <c r="A2108" s="3" t="s">
        <v>146</v>
      </c>
      <c r="B2108" s="3" t="s">
        <v>696</v>
      </c>
      <c r="C2108" s="3" t="s">
        <v>280</v>
      </c>
    </row>
    <row r="2109" spans="1:3" ht="15" x14ac:dyDescent="0.25">
      <c r="A2109" s="3" t="s">
        <v>303</v>
      </c>
      <c r="B2109" s="3" t="s">
        <v>696</v>
      </c>
      <c r="C2109" s="3" t="s">
        <v>280</v>
      </c>
    </row>
    <row r="2110" spans="1:3" ht="15" x14ac:dyDescent="0.25">
      <c r="A2110" s="3" t="s">
        <v>254</v>
      </c>
      <c r="B2110" s="3" t="s">
        <v>696</v>
      </c>
      <c r="C2110" s="3" t="s">
        <v>280</v>
      </c>
    </row>
    <row r="2111" spans="1:3" ht="15" x14ac:dyDescent="0.25">
      <c r="A2111" s="3" t="s">
        <v>542</v>
      </c>
      <c r="B2111" s="3" t="s">
        <v>696</v>
      </c>
      <c r="C2111" s="3" t="s">
        <v>280</v>
      </c>
    </row>
    <row r="2112" spans="1:3" ht="15" x14ac:dyDescent="0.25">
      <c r="A2112" s="3" t="s">
        <v>305</v>
      </c>
      <c r="B2112" s="3" t="s">
        <v>696</v>
      </c>
      <c r="C2112" s="3" t="s">
        <v>280</v>
      </c>
    </row>
    <row r="2113" spans="1:3" ht="15" x14ac:dyDescent="0.25">
      <c r="A2113" s="3" t="s">
        <v>128</v>
      </c>
      <c r="B2113" s="3" t="s">
        <v>696</v>
      </c>
      <c r="C2113" s="3" t="s">
        <v>280</v>
      </c>
    </row>
    <row r="2114" spans="1:3" ht="15" x14ac:dyDescent="0.25">
      <c r="A2114" s="3" t="s">
        <v>41</v>
      </c>
      <c r="B2114" s="3" t="s">
        <v>696</v>
      </c>
      <c r="C2114" s="3" t="s">
        <v>280</v>
      </c>
    </row>
    <row r="2115" spans="1:3" ht="15" x14ac:dyDescent="0.25">
      <c r="A2115" s="3" t="s">
        <v>141</v>
      </c>
      <c r="B2115" s="3" t="s">
        <v>696</v>
      </c>
      <c r="C2115" s="3" t="s">
        <v>280</v>
      </c>
    </row>
    <row r="2116" spans="1:3" ht="15" x14ac:dyDescent="0.25">
      <c r="A2116" s="3" t="s">
        <v>198</v>
      </c>
      <c r="B2116" s="3" t="s">
        <v>696</v>
      </c>
      <c r="C2116" s="3" t="s">
        <v>280</v>
      </c>
    </row>
    <row r="2117" spans="1:3" ht="15" x14ac:dyDescent="0.25">
      <c r="A2117" s="3" t="s">
        <v>199</v>
      </c>
      <c r="B2117" s="3" t="s">
        <v>696</v>
      </c>
      <c r="C2117" s="3" t="s">
        <v>280</v>
      </c>
    </row>
    <row r="2118" spans="1:3" ht="15" x14ac:dyDescent="0.25">
      <c r="A2118" s="3" t="s">
        <v>174</v>
      </c>
      <c r="B2118" s="3" t="s">
        <v>696</v>
      </c>
      <c r="C2118" s="3" t="s">
        <v>280</v>
      </c>
    </row>
    <row r="2119" spans="1:3" ht="15" x14ac:dyDescent="0.25">
      <c r="A2119" s="3" t="s">
        <v>313</v>
      </c>
      <c r="B2119" s="3" t="s">
        <v>696</v>
      </c>
      <c r="C2119" s="3" t="s">
        <v>280</v>
      </c>
    </row>
    <row r="2120" spans="1:3" ht="15" x14ac:dyDescent="0.25">
      <c r="A2120" s="3" t="s">
        <v>314</v>
      </c>
      <c r="B2120" s="3" t="s">
        <v>696</v>
      </c>
      <c r="C2120" s="3" t="s">
        <v>280</v>
      </c>
    </row>
    <row r="2121" spans="1:3" ht="15" x14ac:dyDescent="0.25">
      <c r="A2121" s="3" t="s">
        <v>351</v>
      </c>
      <c r="B2121" s="3" t="s">
        <v>696</v>
      </c>
      <c r="C2121" s="3" t="s">
        <v>280</v>
      </c>
    </row>
    <row r="2122" spans="1:3" ht="15" x14ac:dyDescent="0.25">
      <c r="A2122" s="3" t="s">
        <v>610</v>
      </c>
      <c r="B2122" s="3" t="s">
        <v>696</v>
      </c>
      <c r="C2122" s="3" t="s">
        <v>280</v>
      </c>
    </row>
    <row r="2123" spans="1:3" ht="15" x14ac:dyDescent="0.25">
      <c r="A2123" s="3" t="s">
        <v>611</v>
      </c>
      <c r="B2123" s="3" t="s">
        <v>696</v>
      </c>
      <c r="C2123" s="3" t="s">
        <v>280</v>
      </c>
    </row>
    <row r="2124" spans="1:3" ht="15" x14ac:dyDescent="0.25">
      <c r="A2124" s="3" t="s">
        <v>686</v>
      </c>
      <c r="B2124" s="3" t="s">
        <v>696</v>
      </c>
      <c r="C2124" s="3" t="s">
        <v>280</v>
      </c>
    </row>
    <row r="2125" spans="1:3" ht="15" x14ac:dyDescent="0.25">
      <c r="A2125" s="3" t="s">
        <v>398</v>
      </c>
      <c r="B2125" s="3" t="s">
        <v>696</v>
      </c>
      <c r="C2125" s="3" t="s">
        <v>280</v>
      </c>
    </row>
    <row r="2126" spans="1:3" ht="15" x14ac:dyDescent="0.25">
      <c r="A2126" s="3" t="s">
        <v>419</v>
      </c>
      <c r="B2126" s="3" t="s">
        <v>696</v>
      </c>
      <c r="C2126" s="3" t="s">
        <v>280</v>
      </c>
    </row>
    <row r="2127" spans="1:3" ht="15" x14ac:dyDescent="0.25">
      <c r="A2127" s="3" t="s">
        <v>215</v>
      </c>
      <c r="B2127" s="3" t="s">
        <v>696</v>
      </c>
      <c r="C2127" s="3" t="s">
        <v>280</v>
      </c>
    </row>
    <row r="2128" spans="1:3" ht="15" x14ac:dyDescent="0.25">
      <c r="A2128" s="3" t="s">
        <v>318</v>
      </c>
      <c r="B2128" s="3" t="s">
        <v>696</v>
      </c>
      <c r="C2128" s="3" t="s">
        <v>280</v>
      </c>
    </row>
    <row r="2129" spans="1:3" ht="15" x14ac:dyDescent="0.25">
      <c r="A2129" s="3" t="s">
        <v>224</v>
      </c>
      <c r="B2129" s="3" t="s">
        <v>696</v>
      </c>
      <c r="C2129" s="3" t="s">
        <v>280</v>
      </c>
    </row>
    <row r="2130" spans="1:3" ht="15" x14ac:dyDescent="0.25">
      <c r="A2130" s="3" t="s">
        <v>262</v>
      </c>
      <c r="B2130" s="3" t="s">
        <v>696</v>
      </c>
      <c r="C2130" s="3" t="s">
        <v>280</v>
      </c>
    </row>
    <row r="2131" spans="1:3" ht="15" x14ac:dyDescent="0.25">
      <c r="A2131" s="3" t="s">
        <v>320</v>
      </c>
      <c r="B2131" s="3" t="s">
        <v>696</v>
      </c>
      <c r="C2131" s="3" t="s">
        <v>280</v>
      </c>
    </row>
    <row r="2132" spans="1:3" ht="15" x14ac:dyDescent="0.25">
      <c r="A2132" s="3" t="s">
        <v>632</v>
      </c>
      <c r="B2132" s="3" t="s">
        <v>696</v>
      </c>
      <c r="C2132" s="3" t="s">
        <v>280</v>
      </c>
    </row>
    <row r="2133" spans="1:3" ht="15" x14ac:dyDescent="0.25">
      <c r="A2133" s="3" t="s">
        <v>501</v>
      </c>
      <c r="B2133" s="3" t="s">
        <v>696</v>
      </c>
      <c r="C2133" s="3" t="s">
        <v>280</v>
      </c>
    </row>
    <row r="2134" spans="1:3" ht="15" x14ac:dyDescent="0.25">
      <c r="A2134" s="3" t="s">
        <v>64</v>
      </c>
      <c r="B2134" s="3" t="s">
        <v>696</v>
      </c>
      <c r="C2134" s="3" t="s">
        <v>280</v>
      </c>
    </row>
    <row r="2135" spans="1:3" ht="15" x14ac:dyDescent="0.25">
      <c r="A2135" s="3" t="s">
        <v>112</v>
      </c>
      <c r="B2135" s="3" t="s">
        <v>696</v>
      </c>
      <c r="C2135" s="3" t="s">
        <v>280</v>
      </c>
    </row>
    <row r="2136" spans="1:3" ht="15" x14ac:dyDescent="0.25">
      <c r="A2136" s="3" t="s">
        <v>323</v>
      </c>
      <c r="B2136" s="3" t="s">
        <v>696</v>
      </c>
      <c r="C2136" s="3" t="s">
        <v>280</v>
      </c>
    </row>
    <row r="2137" spans="1:3" ht="15" x14ac:dyDescent="0.25">
      <c r="A2137" s="3" t="s">
        <v>527</v>
      </c>
      <c r="B2137" s="3" t="s">
        <v>696</v>
      </c>
      <c r="C2137" s="3" t="s">
        <v>280</v>
      </c>
    </row>
    <row r="2138" spans="1:3" ht="15" x14ac:dyDescent="0.25">
      <c r="A2138" s="3" t="s">
        <v>225</v>
      </c>
      <c r="B2138" s="3" t="s">
        <v>696</v>
      </c>
      <c r="C2138" s="3" t="s">
        <v>280</v>
      </c>
    </row>
    <row r="2139" spans="1:3" ht="15" x14ac:dyDescent="0.25">
      <c r="A2139" s="3" t="s">
        <v>268</v>
      </c>
      <c r="B2139" s="3" t="s">
        <v>696</v>
      </c>
      <c r="C2139" s="3" t="s">
        <v>280</v>
      </c>
    </row>
    <row r="2140" spans="1:3" ht="15" x14ac:dyDescent="0.25">
      <c r="A2140" s="3" t="s">
        <v>78</v>
      </c>
      <c r="B2140" s="3" t="s">
        <v>696</v>
      </c>
      <c r="C2140" s="3" t="s">
        <v>280</v>
      </c>
    </row>
    <row r="2141" spans="1:3" ht="15" x14ac:dyDescent="0.25">
      <c r="A2141" s="3" t="s">
        <v>81</v>
      </c>
      <c r="B2141" s="3" t="s">
        <v>696</v>
      </c>
      <c r="C2141" s="3" t="s">
        <v>280</v>
      </c>
    </row>
    <row r="2142" spans="1:3" ht="15" x14ac:dyDescent="0.25">
      <c r="A2142" s="3" t="s">
        <v>344</v>
      </c>
      <c r="B2142" s="3" t="s">
        <v>696</v>
      </c>
      <c r="C2142" s="3" t="s">
        <v>280</v>
      </c>
    </row>
    <row r="2143" spans="1:3" ht="15" x14ac:dyDescent="0.25">
      <c r="A2143" s="3" t="s">
        <v>83</v>
      </c>
      <c r="B2143" s="3" t="s">
        <v>696</v>
      </c>
      <c r="C2143" s="3" t="s">
        <v>280</v>
      </c>
    </row>
    <row r="2144" spans="1:3" ht="15" x14ac:dyDescent="0.25">
      <c r="A2144" s="3" t="s">
        <v>84</v>
      </c>
      <c r="B2144" s="3" t="s">
        <v>696</v>
      </c>
      <c r="C2144" s="3" t="s">
        <v>280</v>
      </c>
    </row>
    <row r="2145" spans="1:3" ht="15" x14ac:dyDescent="0.25">
      <c r="A2145" s="3" t="s">
        <v>85</v>
      </c>
      <c r="B2145" s="3" t="s">
        <v>696</v>
      </c>
      <c r="C2145" s="3" t="s">
        <v>280</v>
      </c>
    </row>
    <row r="2146" spans="1:3" ht="15" x14ac:dyDescent="0.25">
      <c r="A2146" s="3" t="s">
        <v>86</v>
      </c>
      <c r="B2146" s="3" t="s">
        <v>696</v>
      </c>
      <c r="C2146" s="3" t="s">
        <v>280</v>
      </c>
    </row>
    <row r="2147" spans="1:3" ht="15" x14ac:dyDescent="0.25">
      <c r="A2147" s="3" t="s">
        <v>87</v>
      </c>
      <c r="B2147" s="3" t="s">
        <v>696</v>
      </c>
      <c r="C2147" s="3" t="s">
        <v>280</v>
      </c>
    </row>
    <row r="2148" spans="1:3" ht="15" x14ac:dyDescent="0.25">
      <c r="A2148" s="3" t="s">
        <v>88</v>
      </c>
      <c r="B2148" s="3" t="s">
        <v>696</v>
      </c>
      <c r="C2148" s="3" t="s">
        <v>280</v>
      </c>
    </row>
    <row r="2149" spans="1:3" ht="15" x14ac:dyDescent="0.25">
      <c r="A2149" s="3" t="s">
        <v>89</v>
      </c>
      <c r="B2149" s="3" t="s">
        <v>696</v>
      </c>
      <c r="C2149" s="3" t="s">
        <v>280</v>
      </c>
    </row>
    <row r="2150" spans="1:3" ht="15" x14ac:dyDescent="0.25">
      <c r="A2150" s="3" t="s">
        <v>90</v>
      </c>
      <c r="B2150" s="3" t="s">
        <v>696</v>
      </c>
      <c r="C2150" s="3" t="s">
        <v>280</v>
      </c>
    </row>
    <row r="2151" spans="1:3" ht="15" x14ac:dyDescent="0.25">
      <c r="A2151" s="3" t="s">
        <v>91</v>
      </c>
      <c r="B2151" s="3" t="s">
        <v>696</v>
      </c>
      <c r="C2151" s="3" t="s">
        <v>280</v>
      </c>
    </row>
    <row r="2152" spans="1:3" ht="15" x14ac:dyDescent="0.25">
      <c r="A2152" s="3" t="s">
        <v>160</v>
      </c>
      <c r="B2152" s="3" t="s">
        <v>696</v>
      </c>
      <c r="C2152" s="3" t="s">
        <v>280</v>
      </c>
    </row>
    <row r="2153" spans="1:3" ht="15" x14ac:dyDescent="0.25">
      <c r="A2153" s="3" t="s">
        <v>92</v>
      </c>
      <c r="B2153" s="3" t="s">
        <v>696</v>
      </c>
      <c r="C2153" s="3" t="s">
        <v>280</v>
      </c>
    </row>
    <row r="2154" spans="1:3" ht="15" x14ac:dyDescent="0.25">
      <c r="A2154" s="3" t="s">
        <v>94</v>
      </c>
      <c r="B2154" s="3" t="s">
        <v>696</v>
      </c>
      <c r="C2154" s="3" t="s">
        <v>280</v>
      </c>
    </row>
    <row r="2155" spans="1:3" ht="15" x14ac:dyDescent="0.25">
      <c r="A2155" s="3" t="s">
        <v>534</v>
      </c>
      <c r="B2155" s="3" t="s">
        <v>696</v>
      </c>
      <c r="C2155" s="3" t="s">
        <v>280</v>
      </c>
    </row>
    <row r="2156" spans="1:3" ht="15" x14ac:dyDescent="0.25">
      <c r="A2156" s="3" t="s">
        <v>326</v>
      </c>
      <c r="B2156" s="3" t="s">
        <v>696</v>
      </c>
      <c r="C2156" s="3" t="s">
        <v>280</v>
      </c>
    </row>
    <row r="2157" spans="1:3" ht="15" x14ac:dyDescent="0.25">
      <c r="A2157" s="3" t="s">
        <v>227</v>
      </c>
      <c r="B2157" s="3" t="s">
        <v>696</v>
      </c>
      <c r="C2157" s="3" t="s">
        <v>280</v>
      </c>
    </row>
    <row r="2158" spans="1:3" ht="15" x14ac:dyDescent="0.25">
      <c r="A2158" s="3" t="s">
        <v>328</v>
      </c>
      <c r="B2158" s="3" t="s">
        <v>696</v>
      </c>
      <c r="C2158" s="3" t="s">
        <v>280</v>
      </c>
    </row>
    <row r="2159" spans="1:3" ht="15" x14ac:dyDescent="0.25">
      <c r="A2159" s="3" t="s">
        <v>330</v>
      </c>
      <c r="B2159" s="3" t="s">
        <v>696</v>
      </c>
      <c r="C2159" s="3" t="s">
        <v>280</v>
      </c>
    </row>
    <row r="2160" spans="1:3" ht="15" x14ac:dyDescent="0.25">
      <c r="A2160" s="3" t="s">
        <v>277</v>
      </c>
      <c r="B2160" s="3" t="s">
        <v>696</v>
      </c>
      <c r="C2160" s="3" t="s">
        <v>280</v>
      </c>
    </row>
    <row r="2161" spans="1:3" ht="15" x14ac:dyDescent="0.25">
      <c r="A2161" s="3" t="s">
        <v>370</v>
      </c>
      <c r="B2161" s="3" t="s">
        <v>696</v>
      </c>
      <c r="C2161" s="3" t="s">
        <v>280</v>
      </c>
    </row>
    <row r="2162" spans="1:3" ht="15" x14ac:dyDescent="0.25">
      <c r="A2162" s="3" t="s">
        <v>334</v>
      </c>
      <c r="B2162" s="3" t="s">
        <v>696</v>
      </c>
      <c r="C2162" s="3" t="s">
        <v>280</v>
      </c>
    </row>
    <row r="2163" spans="1:3" ht="15" x14ac:dyDescent="0.25">
      <c r="A2163" s="3" t="s">
        <v>231</v>
      </c>
      <c r="B2163" s="3" t="s">
        <v>696</v>
      </c>
      <c r="C2163" s="3" t="s">
        <v>280</v>
      </c>
    </row>
    <row r="2164" spans="1:3" ht="15" x14ac:dyDescent="0.25">
      <c r="A2164" s="3" t="s">
        <v>204</v>
      </c>
      <c r="B2164" s="3" t="s">
        <v>696</v>
      </c>
      <c r="C2164" s="3" t="s">
        <v>280</v>
      </c>
    </row>
    <row r="2165" spans="1:3" ht="15" x14ac:dyDescent="0.25">
      <c r="A2165" s="3" t="s">
        <v>346</v>
      </c>
      <c r="B2165" s="3" t="s">
        <v>696</v>
      </c>
      <c r="C2165" s="3" t="s">
        <v>280</v>
      </c>
    </row>
    <row r="2166" spans="1:3" ht="15" x14ac:dyDescent="0.25">
      <c r="A2166" s="3" t="s">
        <v>359</v>
      </c>
      <c r="B2166" s="3" t="s">
        <v>697</v>
      </c>
      <c r="C2166" s="3" t="s">
        <v>280</v>
      </c>
    </row>
    <row r="2167" spans="1:3" ht="15" x14ac:dyDescent="0.25">
      <c r="A2167" s="3" t="s">
        <v>258</v>
      </c>
      <c r="B2167" s="3" t="s">
        <v>697</v>
      </c>
      <c r="C2167" s="3" t="s">
        <v>280</v>
      </c>
    </row>
    <row r="2168" spans="1:3" ht="15" x14ac:dyDescent="0.25">
      <c r="A2168" s="3" t="s">
        <v>536</v>
      </c>
      <c r="B2168" s="3" t="s">
        <v>697</v>
      </c>
      <c r="C2168" s="3" t="s">
        <v>280</v>
      </c>
    </row>
    <row r="2169" spans="1:3" ht="15" x14ac:dyDescent="0.25">
      <c r="A2169" s="3" t="s">
        <v>241</v>
      </c>
      <c r="B2169" s="3" t="s">
        <v>697</v>
      </c>
      <c r="C2169" s="3" t="s">
        <v>280</v>
      </c>
    </row>
    <row r="2170" spans="1:3" ht="15" x14ac:dyDescent="0.25">
      <c r="A2170" s="3" t="s">
        <v>247</v>
      </c>
      <c r="B2170" s="3" t="s">
        <v>697</v>
      </c>
      <c r="C2170" s="3" t="s">
        <v>280</v>
      </c>
    </row>
    <row r="2171" spans="1:3" ht="15" x14ac:dyDescent="0.25">
      <c r="A2171" s="3" t="s">
        <v>686</v>
      </c>
      <c r="B2171" s="3" t="s">
        <v>697</v>
      </c>
      <c r="C2171" s="3" t="s">
        <v>280</v>
      </c>
    </row>
    <row r="2172" spans="1:3" ht="15" x14ac:dyDescent="0.25">
      <c r="A2172" s="3" t="s">
        <v>454</v>
      </c>
      <c r="B2172" s="3" t="s">
        <v>697</v>
      </c>
      <c r="C2172" s="3" t="s">
        <v>280</v>
      </c>
    </row>
    <row r="2173" spans="1:3" ht="15" x14ac:dyDescent="0.25">
      <c r="A2173" s="3" t="s">
        <v>215</v>
      </c>
      <c r="B2173" s="3" t="s">
        <v>697</v>
      </c>
      <c r="C2173" s="3" t="s">
        <v>280</v>
      </c>
    </row>
    <row r="2174" spans="1:3" ht="15" x14ac:dyDescent="0.25">
      <c r="A2174" s="3" t="s">
        <v>114</v>
      </c>
      <c r="B2174" s="3" t="s">
        <v>697</v>
      </c>
      <c r="C2174" s="3" t="s">
        <v>280</v>
      </c>
    </row>
    <row r="2175" spans="1:3" ht="15" x14ac:dyDescent="0.25">
      <c r="A2175" s="3" t="s">
        <v>331</v>
      </c>
      <c r="B2175" s="3" t="s">
        <v>697</v>
      </c>
      <c r="C2175" s="3" t="s">
        <v>280</v>
      </c>
    </row>
    <row r="2176" spans="1:3" ht="15" x14ac:dyDescent="0.25">
      <c r="A2176" s="3" t="s">
        <v>669</v>
      </c>
      <c r="B2176" s="3" t="s">
        <v>697</v>
      </c>
      <c r="C2176" s="3" t="s">
        <v>280</v>
      </c>
    </row>
    <row r="2177" spans="1:3" ht="15" x14ac:dyDescent="0.25">
      <c r="A2177" s="3" t="s">
        <v>595</v>
      </c>
      <c r="B2177" s="3" t="s">
        <v>697</v>
      </c>
      <c r="C2177" s="3" t="s">
        <v>280</v>
      </c>
    </row>
    <row r="2178" spans="1:3" ht="15" x14ac:dyDescent="0.25">
      <c r="A2178" s="3" t="s">
        <v>333</v>
      </c>
      <c r="B2178" s="3" t="s">
        <v>697</v>
      </c>
      <c r="C2178" s="3" t="s">
        <v>280</v>
      </c>
    </row>
    <row r="2179" spans="1:3" ht="15" x14ac:dyDescent="0.25">
      <c r="A2179" s="3" t="s">
        <v>508</v>
      </c>
      <c r="B2179" s="3" t="s">
        <v>697</v>
      </c>
      <c r="C2179" s="3" t="s">
        <v>280</v>
      </c>
    </row>
    <row r="2180" spans="1:3" ht="15" x14ac:dyDescent="0.25">
      <c r="A2180" s="3" t="s">
        <v>370</v>
      </c>
      <c r="B2180" s="3" t="s">
        <v>697</v>
      </c>
      <c r="C2180" s="3" t="s">
        <v>280</v>
      </c>
    </row>
    <row r="2181" spans="1:3" ht="15" x14ac:dyDescent="0.25">
      <c r="A2181" s="3" t="s">
        <v>120</v>
      </c>
      <c r="B2181" s="3" t="s">
        <v>697</v>
      </c>
      <c r="C2181" s="3" t="s">
        <v>280</v>
      </c>
    </row>
    <row r="2182" spans="1:3" ht="15" x14ac:dyDescent="0.25">
      <c r="A2182" s="3" t="s">
        <v>258</v>
      </c>
      <c r="B2182" s="3" t="s">
        <v>695</v>
      </c>
      <c r="C2182" s="3" t="s">
        <v>280</v>
      </c>
    </row>
    <row r="2183" spans="1:3" ht="15" x14ac:dyDescent="0.25">
      <c r="A2183" s="3" t="s">
        <v>288</v>
      </c>
      <c r="B2183" s="3" t="s">
        <v>695</v>
      </c>
      <c r="C2183" s="3" t="s">
        <v>280</v>
      </c>
    </row>
    <row r="2184" spans="1:3" ht="15" x14ac:dyDescent="0.25">
      <c r="A2184" s="3" t="s">
        <v>374</v>
      </c>
      <c r="B2184" s="3" t="s">
        <v>695</v>
      </c>
      <c r="C2184" s="3" t="s">
        <v>280</v>
      </c>
    </row>
    <row r="2185" spans="1:3" ht="15" x14ac:dyDescent="0.25">
      <c r="A2185" s="3" t="s">
        <v>239</v>
      </c>
      <c r="B2185" s="3" t="s">
        <v>695</v>
      </c>
      <c r="C2185" s="3" t="s">
        <v>280</v>
      </c>
    </row>
    <row r="2186" spans="1:3" ht="15" x14ac:dyDescent="0.25">
      <c r="A2186" s="3" t="s">
        <v>214</v>
      </c>
      <c r="B2186" s="3" t="s">
        <v>695</v>
      </c>
      <c r="C2186" s="3" t="s">
        <v>280</v>
      </c>
    </row>
    <row r="2187" spans="1:3" ht="15" x14ac:dyDescent="0.25">
      <c r="A2187" s="3" t="s">
        <v>135</v>
      </c>
      <c r="B2187" s="3" t="s">
        <v>695</v>
      </c>
      <c r="C2187" s="3" t="s">
        <v>280</v>
      </c>
    </row>
    <row r="2188" spans="1:3" ht="15" x14ac:dyDescent="0.25">
      <c r="A2188" s="3" t="s">
        <v>604</v>
      </c>
      <c r="B2188" s="3" t="s">
        <v>695</v>
      </c>
      <c r="C2188" s="3" t="s">
        <v>280</v>
      </c>
    </row>
    <row r="2189" spans="1:3" ht="15" x14ac:dyDescent="0.25">
      <c r="A2189" s="3" t="s">
        <v>303</v>
      </c>
      <c r="B2189" s="3" t="s">
        <v>695</v>
      </c>
      <c r="C2189" s="3" t="s">
        <v>280</v>
      </c>
    </row>
    <row r="2190" spans="1:3" ht="15" x14ac:dyDescent="0.25">
      <c r="A2190" s="3" t="s">
        <v>254</v>
      </c>
      <c r="B2190" s="3" t="s">
        <v>695</v>
      </c>
      <c r="C2190" s="3" t="s">
        <v>280</v>
      </c>
    </row>
    <row r="2191" spans="1:3" ht="15" x14ac:dyDescent="0.25">
      <c r="A2191" s="3" t="s">
        <v>219</v>
      </c>
      <c r="B2191" s="3" t="s">
        <v>695</v>
      </c>
      <c r="C2191" s="3" t="s">
        <v>280</v>
      </c>
    </row>
    <row r="2192" spans="1:3" ht="15" x14ac:dyDescent="0.25">
      <c r="A2192" s="3" t="s">
        <v>137</v>
      </c>
      <c r="B2192" s="3" t="s">
        <v>695</v>
      </c>
      <c r="C2192" s="3" t="s">
        <v>280</v>
      </c>
    </row>
    <row r="2193" spans="1:3" ht="15" x14ac:dyDescent="0.25">
      <c r="A2193" s="3" t="s">
        <v>340</v>
      </c>
      <c r="B2193" s="3" t="s">
        <v>695</v>
      </c>
      <c r="C2193" s="3" t="s">
        <v>280</v>
      </c>
    </row>
    <row r="2194" spans="1:3" ht="15" x14ac:dyDescent="0.25">
      <c r="A2194" s="3" t="s">
        <v>319</v>
      </c>
      <c r="B2194" s="3" t="s">
        <v>695</v>
      </c>
      <c r="C2194" s="3" t="s">
        <v>280</v>
      </c>
    </row>
    <row r="2195" spans="1:3" ht="15" x14ac:dyDescent="0.25">
      <c r="A2195" s="3" t="s">
        <v>134</v>
      </c>
      <c r="B2195" s="3" t="s">
        <v>695</v>
      </c>
      <c r="C2195" s="3" t="s">
        <v>280</v>
      </c>
    </row>
    <row r="2196" spans="1:3" ht="15" x14ac:dyDescent="0.25">
      <c r="A2196" s="3" t="s">
        <v>261</v>
      </c>
      <c r="B2196" s="3" t="s">
        <v>695</v>
      </c>
      <c r="C2196" s="3" t="s">
        <v>280</v>
      </c>
    </row>
    <row r="2197" spans="1:3" ht="15" x14ac:dyDescent="0.25">
      <c r="A2197" s="3" t="s">
        <v>81</v>
      </c>
      <c r="B2197" s="3" t="s">
        <v>695</v>
      </c>
      <c r="C2197" s="3" t="s">
        <v>280</v>
      </c>
    </row>
    <row r="2198" spans="1:3" ht="15" x14ac:dyDescent="0.25">
      <c r="A2198" s="3" t="s">
        <v>270</v>
      </c>
      <c r="B2198" s="3" t="s">
        <v>695</v>
      </c>
      <c r="C2198" s="3" t="s">
        <v>280</v>
      </c>
    </row>
    <row r="2199" spans="1:3" ht="15" x14ac:dyDescent="0.25">
      <c r="A2199" s="3" t="s">
        <v>203</v>
      </c>
      <c r="B2199" s="3" t="s">
        <v>695</v>
      </c>
      <c r="C2199" s="3" t="s">
        <v>280</v>
      </c>
    </row>
    <row r="2200" spans="1:3" ht="15" x14ac:dyDescent="0.25">
      <c r="A2200" s="3" t="s">
        <v>649</v>
      </c>
      <c r="B2200" s="3" t="s">
        <v>695</v>
      </c>
      <c r="C2200" s="3" t="s">
        <v>280</v>
      </c>
    </row>
    <row r="2201" spans="1:3" ht="15" x14ac:dyDescent="0.25">
      <c r="A2201" s="3" t="s">
        <v>236</v>
      </c>
      <c r="B2201" s="3" t="s">
        <v>689</v>
      </c>
      <c r="C2201" s="3" t="s">
        <v>280</v>
      </c>
    </row>
    <row r="2202" spans="1:3" ht="15" x14ac:dyDescent="0.25">
      <c r="A2202" s="3" t="s">
        <v>124</v>
      </c>
      <c r="B2202" s="3" t="s">
        <v>689</v>
      </c>
      <c r="C2202" s="3" t="s">
        <v>280</v>
      </c>
    </row>
    <row r="2203" spans="1:3" ht="15" x14ac:dyDescent="0.25">
      <c r="A2203" s="3" t="s">
        <v>408</v>
      </c>
      <c r="B2203" s="3" t="s">
        <v>689</v>
      </c>
      <c r="C2203" s="3" t="s">
        <v>280</v>
      </c>
    </row>
    <row r="2204" spans="1:3" ht="15" x14ac:dyDescent="0.25">
      <c r="A2204" s="3" t="s">
        <v>281</v>
      </c>
      <c r="B2204" s="3" t="s">
        <v>689</v>
      </c>
      <c r="C2204" s="3" t="s">
        <v>280</v>
      </c>
    </row>
    <row r="2205" spans="1:3" ht="15" x14ac:dyDescent="0.25">
      <c r="A2205" s="3" t="s">
        <v>103</v>
      </c>
      <c r="B2205" s="3" t="s">
        <v>689</v>
      </c>
      <c r="C2205" s="3" t="s">
        <v>280</v>
      </c>
    </row>
    <row r="2206" spans="1:3" ht="15" x14ac:dyDescent="0.25">
      <c r="A2206" s="3" t="s">
        <v>237</v>
      </c>
      <c r="B2206" s="3" t="s">
        <v>689</v>
      </c>
      <c r="C2206" s="3" t="s">
        <v>280</v>
      </c>
    </row>
    <row r="2207" spans="1:3" ht="15" x14ac:dyDescent="0.25">
      <c r="A2207" s="3" t="s">
        <v>283</v>
      </c>
      <c r="B2207" s="3" t="s">
        <v>689</v>
      </c>
      <c r="C2207" s="3" t="s">
        <v>280</v>
      </c>
    </row>
    <row r="2208" spans="1:3" ht="15" x14ac:dyDescent="0.25">
      <c r="A2208" s="3" t="s">
        <v>359</v>
      </c>
      <c r="B2208" s="3" t="s">
        <v>689</v>
      </c>
      <c r="C2208" s="3" t="s">
        <v>280</v>
      </c>
    </row>
    <row r="2209" spans="1:3" ht="15" x14ac:dyDescent="0.25">
      <c r="A2209" s="3" t="s">
        <v>187</v>
      </c>
      <c r="B2209" s="3" t="s">
        <v>689</v>
      </c>
      <c r="C2209" s="3" t="s">
        <v>280</v>
      </c>
    </row>
    <row r="2210" spans="1:3" ht="15" x14ac:dyDescent="0.25">
      <c r="A2210" s="3" t="s">
        <v>258</v>
      </c>
      <c r="B2210" s="3" t="s">
        <v>689</v>
      </c>
      <c r="C2210" s="3" t="s">
        <v>280</v>
      </c>
    </row>
    <row r="2211" spans="1:3" ht="15" x14ac:dyDescent="0.25">
      <c r="A2211" s="3" t="s">
        <v>127</v>
      </c>
      <c r="B2211" s="3" t="s">
        <v>689</v>
      </c>
      <c r="C2211" s="3" t="s">
        <v>280</v>
      </c>
    </row>
    <row r="2212" spans="1:3" ht="15" x14ac:dyDescent="0.25">
      <c r="A2212" s="3" t="s">
        <v>287</v>
      </c>
      <c r="B2212" s="3" t="s">
        <v>689</v>
      </c>
      <c r="C2212" s="3" t="s">
        <v>280</v>
      </c>
    </row>
    <row r="2213" spans="1:3" ht="15" x14ac:dyDescent="0.25">
      <c r="A2213" s="3" t="s">
        <v>106</v>
      </c>
      <c r="B2213" s="3" t="s">
        <v>689</v>
      </c>
      <c r="C2213" s="3" t="s">
        <v>280</v>
      </c>
    </row>
    <row r="2214" spans="1:3" ht="15" x14ac:dyDescent="0.25">
      <c r="A2214" s="3" t="s">
        <v>486</v>
      </c>
      <c r="B2214" s="3" t="s">
        <v>689</v>
      </c>
      <c r="C2214" s="3" t="s">
        <v>280</v>
      </c>
    </row>
    <row r="2215" spans="1:3" ht="15" x14ac:dyDescent="0.25">
      <c r="A2215" s="3" t="s">
        <v>291</v>
      </c>
      <c r="B2215" s="3" t="s">
        <v>689</v>
      </c>
      <c r="C2215" s="3" t="s">
        <v>280</v>
      </c>
    </row>
    <row r="2216" spans="1:3" ht="15" x14ac:dyDescent="0.25">
      <c r="A2216" s="3" t="s">
        <v>211</v>
      </c>
      <c r="B2216" s="3" t="s">
        <v>689</v>
      </c>
      <c r="C2216" s="3" t="s">
        <v>280</v>
      </c>
    </row>
    <row r="2217" spans="1:3" ht="15" x14ac:dyDescent="0.25">
      <c r="A2217" s="3" t="s">
        <v>532</v>
      </c>
      <c r="B2217" s="3" t="s">
        <v>689</v>
      </c>
      <c r="C2217" s="3" t="s">
        <v>280</v>
      </c>
    </row>
    <row r="2218" spans="1:3" ht="15" x14ac:dyDescent="0.25">
      <c r="A2218" s="3" t="s">
        <v>431</v>
      </c>
      <c r="B2218" s="3" t="s">
        <v>689</v>
      </c>
      <c r="C2218" s="3" t="s">
        <v>280</v>
      </c>
    </row>
    <row r="2219" spans="1:3" ht="15" x14ac:dyDescent="0.25">
      <c r="A2219" s="3" t="s">
        <v>238</v>
      </c>
      <c r="B2219" s="3" t="s">
        <v>689</v>
      </c>
      <c r="C2219" s="3" t="s">
        <v>280</v>
      </c>
    </row>
    <row r="2220" spans="1:3" ht="15" x14ac:dyDescent="0.25">
      <c r="A2220" s="3" t="s">
        <v>536</v>
      </c>
      <c r="B2220" s="3" t="s">
        <v>689</v>
      </c>
      <c r="C2220" s="3" t="s">
        <v>280</v>
      </c>
    </row>
    <row r="2221" spans="1:3" ht="15" x14ac:dyDescent="0.25">
      <c r="A2221" s="3" t="s">
        <v>133</v>
      </c>
      <c r="B2221" s="3" t="s">
        <v>689</v>
      </c>
      <c r="C2221" s="3" t="s">
        <v>280</v>
      </c>
    </row>
    <row r="2222" spans="1:3" ht="15" x14ac:dyDescent="0.25">
      <c r="A2222" s="3" t="s">
        <v>378</v>
      </c>
      <c r="B2222" s="3" t="s">
        <v>689</v>
      </c>
      <c r="C2222" s="3" t="s">
        <v>280</v>
      </c>
    </row>
    <row r="2223" spans="1:3" ht="15" x14ac:dyDescent="0.25">
      <c r="A2223" s="3" t="s">
        <v>18</v>
      </c>
      <c r="B2223" s="3" t="s">
        <v>689</v>
      </c>
      <c r="C2223" s="3" t="s">
        <v>280</v>
      </c>
    </row>
    <row r="2224" spans="1:3" ht="15" x14ac:dyDescent="0.25">
      <c r="A2224" s="3" t="s">
        <v>338</v>
      </c>
      <c r="B2224" s="3" t="s">
        <v>689</v>
      </c>
      <c r="C2224" s="3" t="s">
        <v>280</v>
      </c>
    </row>
    <row r="2225" spans="1:3" ht="15" x14ac:dyDescent="0.25">
      <c r="A2225" s="3" t="s">
        <v>241</v>
      </c>
      <c r="B2225" s="3" t="s">
        <v>689</v>
      </c>
      <c r="C2225" s="3" t="s">
        <v>280</v>
      </c>
    </row>
    <row r="2226" spans="1:3" ht="15" x14ac:dyDescent="0.25">
      <c r="A2226" s="3" t="s">
        <v>533</v>
      </c>
      <c r="B2226" s="3" t="s">
        <v>689</v>
      </c>
      <c r="C2226" s="3" t="s">
        <v>280</v>
      </c>
    </row>
    <row r="2227" spans="1:3" ht="15" x14ac:dyDescent="0.25">
      <c r="A2227" s="3" t="s">
        <v>135</v>
      </c>
      <c r="B2227" s="3" t="s">
        <v>689</v>
      </c>
      <c r="C2227" s="3" t="s">
        <v>280</v>
      </c>
    </row>
    <row r="2228" spans="1:3" ht="15" x14ac:dyDescent="0.25">
      <c r="A2228" s="3" t="s">
        <v>243</v>
      </c>
      <c r="B2228" s="3" t="s">
        <v>689</v>
      </c>
      <c r="C2228" s="3" t="s">
        <v>280</v>
      </c>
    </row>
    <row r="2229" spans="1:3" ht="15" x14ac:dyDescent="0.25">
      <c r="A2229" s="3" t="s">
        <v>240</v>
      </c>
      <c r="B2229" s="3" t="s">
        <v>689</v>
      </c>
      <c r="C2229" s="3" t="s">
        <v>280</v>
      </c>
    </row>
    <row r="2230" spans="1:3" ht="15" x14ac:dyDescent="0.25">
      <c r="A2230" s="3" t="s">
        <v>27</v>
      </c>
      <c r="B2230" s="3" t="s">
        <v>689</v>
      </c>
      <c r="C2230" s="3" t="s">
        <v>280</v>
      </c>
    </row>
    <row r="2231" spans="1:3" ht="15" x14ac:dyDescent="0.25">
      <c r="A2231" s="3" t="s">
        <v>246</v>
      </c>
      <c r="B2231" s="3" t="s">
        <v>689</v>
      </c>
      <c r="C2231" s="3" t="s">
        <v>280</v>
      </c>
    </row>
    <row r="2232" spans="1:3" ht="15" x14ac:dyDescent="0.25">
      <c r="A2232" s="3" t="s">
        <v>634</v>
      </c>
      <c r="B2232" s="3" t="s">
        <v>689</v>
      </c>
      <c r="C2232" s="3" t="s">
        <v>280</v>
      </c>
    </row>
    <row r="2233" spans="1:3" ht="15" x14ac:dyDescent="0.25">
      <c r="A2233" s="3" t="s">
        <v>541</v>
      </c>
      <c r="B2233" s="3" t="s">
        <v>689</v>
      </c>
      <c r="C2233" s="3" t="s">
        <v>280</v>
      </c>
    </row>
    <row r="2234" spans="1:3" ht="15" x14ac:dyDescent="0.25">
      <c r="A2234" s="3" t="s">
        <v>247</v>
      </c>
      <c r="B2234" s="3" t="s">
        <v>689</v>
      </c>
      <c r="C2234" s="3" t="s">
        <v>280</v>
      </c>
    </row>
    <row r="2235" spans="1:3" ht="15" x14ac:dyDescent="0.25">
      <c r="A2235" s="3" t="s">
        <v>142</v>
      </c>
      <c r="B2235" s="3" t="s">
        <v>689</v>
      </c>
      <c r="C2235" s="3" t="s">
        <v>280</v>
      </c>
    </row>
    <row r="2236" spans="1:3" ht="15" x14ac:dyDescent="0.25">
      <c r="A2236" s="3" t="s">
        <v>193</v>
      </c>
      <c r="B2236" s="3" t="s">
        <v>689</v>
      </c>
      <c r="C2236" s="3" t="s">
        <v>280</v>
      </c>
    </row>
    <row r="2237" spans="1:3" ht="15" x14ac:dyDescent="0.25">
      <c r="A2237" s="3" t="s">
        <v>564</v>
      </c>
      <c r="B2237" s="3" t="s">
        <v>689</v>
      </c>
      <c r="C2237" s="3" t="s">
        <v>280</v>
      </c>
    </row>
    <row r="2238" spans="1:3" ht="15" x14ac:dyDescent="0.25">
      <c r="A2238" s="3" t="s">
        <v>449</v>
      </c>
      <c r="B2238" s="3" t="s">
        <v>689</v>
      </c>
      <c r="C2238" s="3" t="s">
        <v>280</v>
      </c>
    </row>
    <row r="2239" spans="1:3" ht="15" x14ac:dyDescent="0.25">
      <c r="A2239" s="3" t="s">
        <v>194</v>
      </c>
      <c r="B2239" s="3" t="s">
        <v>689</v>
      </c>
      <c r="C2239" s="3" t="s">
        <v>280</v>
      </c>
    </row>
    <row r="2240" spans="1:3" ht="15" x14ac:dyDescent="0.25">
      <c r="A2240" s="3" t="s">
        <v>195</v>
      </c>
      <c r="B2240" s="3" t="s">
        <v>689</v>
      </c>
      <c r="C2240" s="3" t="s">
        <v>280</v>
      </c>
    </row>
    <row r="2241" spans="1:3" ht="15" x14ac:dyDescent="0.25">
      <c r="A2241" s="3" t="s">
        <v>36</v>
      </c>
      <c r="B2241" s="3" t="s">
        <v>689</v>
      </c>
      <c r="C2241" s="3" t="s">
        <v>280</v>
      </c>
    </row>
    <row r="2242" spans="1:3" ht="15" x14ac:dyDescent="0.25">
      <c r="A2242" s="3" t="s">
        <v>379</v>
      </c>
      <c r="B2242" s="3" t="s">
        <v>689</v>
      </c>
      <c r="C2242" s="3" t="s">
        <v>280</v>
      </c>
    </row>
    <row r="2243" spans="1:3" ht="15" x14ac:dyDescent="0.25">
      <c r="A2243" s="3" t="s">
        <v>451</v>
      </c>
      <c r="B2243" s="3" t="s">
        <v>689</v>
      </c>
      <c r="C2243" s="3" t="s">
        <v>280</v>
      </c>
    </row>
    <row r="2244" spans="1:3" ht="15" x14ac:dyDescent="0.25">
      <c r="A2244" s="3" t="s">
        <v>380</v>
      </c>
      <c r="B2244" s="3" t="s">
        <v>689</v>
      </c>
      <c r="C2244" s="3" t="s">
        <v>280</v>
      </c>
    </row>
    <row r="2245" spans="1:3" ht="15" x14ac:dyDescent="0.25">
      <c r="A2245" s="3" t="s">
        <v>198</v>
      </c>
      <c r="B2245" s="3" t="s">
        <v>689</v>
      </c>
      <c r="C2245" s="3" t="s">
        <v>280</v>
      </c>
    </row>
    <row r="2246" spans="1:3" ht="15" x14ac:dyDescent="0.25">
      <c r="A2246" s="3" t="s">
        <v>311</v>
      </c>
      <c r="B2246" s="3" t="s">
        <v>689</v>
      </c>
      <c r="C2246" s="3" t="s">
        <v>280</v>
      </c>
    </row>
    <row r="2247" spans="1:3" ht="15" x14ac:dyDescent="0.25">
      <c r="A2247" s="3" t="s">
        <v>199</v>
      </c>
      <c r="B2247" s="3" t="s">
        <v>689</v>
      </c>
      <c r="C2247" s="3" t="s">
        <v>280</v>
      </c>
    </row>
    <row r="2248" spans="1:3" ht="15" x14ac:dyDescent="0.25">
      <c r="A2248" s="3" t="s">
        <v>220</v>
      </c>
      <c r="B2248" s="3" t="s">
        <v>689</v>
      </c>
      <c r="C2248" s="3" t="s">
        <v>280</v>
      </c>
    </row>
    <row r="2249" spans="1:3" ht="15" x14ac:dyDescent="0.25">
      <c r="A2249" s="3" t="s">
        <v>351</v>
      </c>
      <c r="B2249" s="3" t="s">
        <v>689</v>
      </c>
      <c r="C2249" s="3" t="s">
        <v>280</v>
      </c>
    </row>
    <row r="2250" spans="1:3" ht="15" x14ac:dyDescent="0.25">
      <c r="A2250" s="3" t="s">
        <v>200</v>
      </c>
      <c r="B2250" s="3" t="s">
        <v>689</v>
      </c>
      <c r="C2250" s="3" t="s">
        <v>280</v>
      </c>
    </row>
    <row r="2251" spans="1:3" ht="15" x14ac:dyDescent="0.25">
      <c r="A2251" s="3" t="s">
        <v>259</v>
      </c>
      <c r="B2251" s="3" t="s">
        <v>689</v>
      </c>
      <c r="C2251" s="3" t="s">
        <v>280</v>
      </c>
    </row>
    <row r="2252" spans="1:3" ht="15" x14ac:dyDescent="0.25">
      <c r="A2252" s="3" t="s">
        <v>52</v>
      </c>
      <c r="B2252" s="3" t="s">
        <v>689</v>
      </c>
      <c r="C2252" s="3" t="s">
        <v>280</v>
      </c>
    </row>
    <row r="2253" spans="1:3" ht="15" x14ac:dyDescent="0.25">
      <c r="A2253" s="3" t="s">
        <v>686</v>
      </c>
      <c r="B2253" s="3" t="s">
        <v>689</v>
      </c>
      <c r="C2253" s="3" t="s">
        <v>280</v>
      </c>
    </row>
    <row r="2254" spans="1:3" ht="15" x14ac:dyDescent="0.25">
      <c r="A2254" s="3" t="s">
        <v>454</v>
      </c>
      <c r="B2254" s="3" t="s">
        <v>689</v>
      </c>
      <c r="C2254" s="3" t="s">
        <v>280</v>
      </c>
    </row>
    <row r="2255" spans="1:3" ht="15" x14ac:dyDescent="0.25">
      <c r="A2255" s="3" t="s">
        <v>223</v>
      </c>
      <c r="B2255" s="3" t="s">
        <v>689</v>
      </c>
      <c r="C2255" s="3" t="s">
        <v>280</v>
      </c>
    </row>
    <row r="2256" spans="1:3" ht="15" x14ac:dyDescent="0.25">
      <c r="A2256" s="3" t="s">
        <v>337</v>
      </c>
      <c r="B2256" s="3" t="s">
        <v>689</v>
      </c>
      <c r="C2256" s="3" t="s">
        <v>280</v>
      </c>
    </row>
    <row r="2257" spans="1:3" ht="15" x14ac:dyDescent="0.25">
      <c r="A2257" s="3" t="s">
        <v>468</v>
      </c>
      <c r="B2257" s="3" t="s">
        <v>689</v>
      </c>
      <c r="C2257" s="3" t="s">
        <v>280</v>
      </c>
    </row>
    <row r="2258" spans="1:3" ht="15" x14ac:dyDescent="0.25">
      <c r="A2258" s="3" t="s">
        <v>300</v>
      </c>
      <c r="B2258" s="3" t="s">
        <v>689</v>
      </c>
      <c r="C2258" s="3" t="s">
        <v>280</v>
      </c>
    </row>
    <row r="2259" spans="1:3" ht="15" x14ac:dyDescent="0.25">
      <c r="A2259" s="3" t="s">
        <v>215</v>
      </c>
      <c r="B2259" s="3" t="s">
        <v>689</v>
      </c>
      <c r="C2259" s="3" t="s">
        <v>280</v>
      </c>
    </row>
    <row r="2260" spans="1:3" ht="15" x14ac:dyDescent="0.25">
      <c r="A2260" s="3" t="s">
        <v>55</v>
      </c>
      <c r="B2260" s="3" t="s">
        <v>689</v>
      </c>
      <c r="C2260" s="3" t="s">
        <v>280</v>
      </c>
    </row>
    <row r="2261" spans="1:3" ht="15" x14ac:dyDescent="0.25">
      <c r="A2261" s="3" t="s">
        <v>109</v>
      </c>
      <c r="B2261" s="3" t="s">
        <v>689</v>
      </c>
      <c r="C2261" s="3" t="s">
        <v>280</v>
      </c>
    </row>
    <row r="2262" spans="1:3" ht="15" x14ac:dyDescent="0.25">
      <c r="A2262" s="3" t="s">
        <v>262</v>
      </c>
      <c r="B2262" s="3" t="s">
        <v>689</v>
      </c>
      <c r="C2262" s="3" t="s">
        <v>280</v>
      </c>
    </row>
    <row r="2263" spans="1:3" ht="15" x14ac:dyDescent="0.25">
      <c r="A2263" s="3" t="s">
        <v>653</v>
      </c>
      <c r="B2263" s="3" t="s">
        <v>689</v>
      </c>
      <c r="C2263" s="3" t="s">
        <v>280</v>
      </c>
    </row>
    <row r="2264" spans="1:3" ht="15" x14ac:dyDescent="0.25">
      <c r="A2264" s="3" t="s">
        <v>367</v>
      </c>
      <c r="B2264" s="3" t="s">
        <v>689</v>
      </c>
      <c r="C2264" s="3" t="s">
        <v>280</v>
      </c>
    </row>
    <row r="2265" spans="1:3" ht="15" x14ac:dyDescent="0.25">
      <c r="A2265" s="3" t="s">
        <v>306</v>
      </c>
      <c r="B2265" s="3" t="s">
        <v>689</v>
      </c>
      <c r="C2265" s="3" t="s">
        <v>280</v>
      </c>
    </row>
    <row r="2266" spans="1:3" ht="15" x14ac:dyDescent="0.25">
      <c r="A2266" s="3" t="s">
        <v>282</v>
      </c>
      <c r="B2266" s="3" t="s">
        <v>689</v>
      </c>
      <c r="C2266" s="3" t="s">
        <v>280</v>
      </c>
    </row>
    <row r="2267" spans="1:3" ht="15" x14ac:dyDescent="0.25">
      <c r="A2267" s="3" t="s">
        <v>70</v>
      </c>
      <c r="B2267" s="3" t="s">
        <v>689</v>
      </c>
      <c r="C2267" s="3" t="s">
        <v>280</v>
      </c>
    </row>
    <row r="2268" spans="1:3" ht="15" x14ac:dyDescent="0.25">
      <c r="A2268" s="3" t="s">
        <v>114</v>
      </c>
      <c r="B2268" s="3" t="s">
        <v>689</v>
      </c>
      <c r="C2268" s="3" t="s">
        <v>280</v>
      </c>
    </row>
    <row r="2269" spans="1:3" ht="15" x14ac:dyDescent="0.25">
      <c r="A2269" s="3" t="s">
        <v>529</v>
      </c>
      <c r="B2269" s="3" t="s">
        <v>689</v>
      </c>
      <c r="C2269" s="3" t="s">
        <v>280</v>
      </c>
    </row>
    <row r="2270" spans="1:3" ht="15" x14ac:dyDescent="0.25">
      <c r="A2270" s="3" t="s">
        <v>375</v>
      </c>
      <c r="B2270" s="3" t="s">
        <v>689</v>
      </c>
      <c r="C2270" s="3" t="s">
        <v>280</v>
      </c>
    </row>
    <row r="2271" spans="1:3" ht="15" x14ac:dyDescent="0.25">
      <c r="A2271" s="3" t="s">
        <v>83</v>
      </c>
      <c r="B2271" s="3" t="s">
        <v>689</v>
      </c>
      <c r="C2271" s="3" t="s">
        <v>280</v>
      </c>
    </row>
    <row r="2272" spans="1:3" ht="15" x14ac:dyDescent="0.25">
      <c r="A2272" s="3" t="s">
        <v>90</v>
      </c>
      <c r="B2272" s="3" t="s">
        <v>689</v>
      </c>
      <c r="C2272" s="3" t="s">
        <v>280</v>
      </c>
    </row>
    <row r="2273" spans="1:3" ht="15" x14ac:dyDescent="0.25">
      <c r="A2273" s="3" t="s">
        <v>117</v>
      </c>
      <c r="B2273" s="3" t="s">
        <v>689</v>
      </c>
      <c r="C2273" s="3" t="s">
        <v>280</v>
      </c>
    </row>
    <row r="2274" spans="1:3" ht="15" x14ac:dyDescent="0.25">
      <c r="A2274" s="3" t="s">
        <v>202</v>
      </c>
      <c r="B2274" s="3" t="s">
        <v>689</v>
      </c>
      <c r="C2274" s="3" t="s">
        <v>280</v>
      </c>
    </row>
    <row r="2275" spans="1:3" ht="15" x14ac:dyDescent="0.25">
      <c r="A2275" s="3" t="s">
        <v>270</v>
      </c>
      <c r="B2275" s="3" t="s">
        <v>689</v>
      </c>
      <c r="C2275" s="3" t="s">
        <v>280</v>
      </c>
    </row>
    <row r="2276" spans="1:3" ht="15" x14ac:dyDescent="0.25">
      <c r="A2276" s="3" t="s">
        <v>382</v>
      </c>
      <c r="B2276" s="3" t="s">
        <v>689</v>
      </c>
      <c r="C2276" s="3" t="s">
        <v>280</v>
      </c>
    </row>
    <row r="2277" spans="1:3" ht="15" x14ac:dyDescent="0.25">
      <c r="A2277" s="3" t="s">
        <v>383</v>
      </c>
      <c r="B2277" s="3" t="s">
        <v>689</v>
      </c>
      <c r="C2277" s="3" t="s">
        <v>280</v>
      </c>
    </row>
    <row r="2278" spans="1:3" ht="15" x14ac:dyDescent="0.25">
      <c r="A2278" s="3" t="s">
        <v>272</v>
      </c>
      <c r="B2278" s="3" t="s">
        <v>689</v>
      </c>
      <c r="C2278" s="3" t="s">
        <v>280</v>
      </c>
    </row>
    <row r="2279" spans="1:3" ht="15" x14ac:dyDescent="0.25">
      <c r="A2279" s="3" t="s">
        <v>376</v>
      </c>
      <c r="B2279" s="3" t="s">
        <v>689</v>
      </c>
      <c r="C2279" s="3" t="s">
        <v>280</v>
      </c>
    </row>
    <row r="2280" spans="1:3" ht="15" x14ac:dyDescent="0.25">
      <c r="A2280" s="3" t="s">
        <v>97</v>
      </c>
      <c r="B2280" s="3" t="s">
        <v>689</v>
      </c>
      <c r="C2280" s="3" t="s">
        <v>280</v>
      </c>
    </row>
    <row r="2281" spans="1:3" ht="15" x14ac:dyDescent="0.25">
      <c r="A2281" s="3" t="s">
        <v>328</v>
      </c>
      <c r="B2281" s="3" t="s">
        <v>689</v>
      </c>
      <c r="C2281" s="3" t="s">
        <v>280</v>
      </c>
    </row>
    <row r="2282" spans="1:3" ht="15" x14ac:dyDescent="0.25">
      <c r="A2282" s="3" t="s">
        <v>163</v>
      </c>
      <c r="B2282" s="3" t="s">
        <v>689</v>
      </c>
      <c r="C2282" s="3" t="s">
        <v>280</v>
      </c>
    </row>
    <row r="2283" spans="1:3" ht="15" x14ac:dyDescent="0.25">
      <c r="A2283" s="3" t="s">
        <v>331</v>
      </c>
      <c r="B2283" s="3" t="s">
        <v>689</v>
      </c>
      <c r="C2283" s="3" t="s">
        <v>280</v>
      </c>
    </row>
    <row r="2284" spans="1:3" ht="15" x14ac:dyDescent="0.25">
      <c r="A2284" s="3" t="s">
        <v>669</v>
      </c>
      <c r="B2284" s="3" t="s">
        <v>689</v>
      </c>
      <c r="C2284" s="3" t="s">
        <v>280</v>
      </c>
    </row>
    <row r="2285" spans="1:3" ht="15" x14ac:dyDescent="0.25">
      <c r="A2285" s="3" t="s">
        <v>649</v>
      </c>
      <c r="B2285" s="3" t="s">
        <v>689</v>
      </c>
      <c r="C2285" s="3" t="s">
        <v>280</v>
      </c>
    </row>
    <row r="2286" spans="1:3" ht="15" x14ac:dyDescent="0.25">
      <c r="A2286" s="3" t="s">
        <v>277</v>
      </c>
      <c r="B2286" s="3" t="s">
        <v>689</v>
      </c>
      <c r="C2286" s="3" t="s">
        <v>280</v>
      </c>
    </row>
    <row r="2287" spans="1:3" ht="15" x14ac:dyDescent="0.25">
      <c r="A2287" s="3" t="s">
        <v>595</v>
      </c>
      <c r="B2287" s="3" t="s">
        <v>689</v>
      </c>
      <c r="C2287" s="3" t="s">
        <v>280</v>
      </c>
    </row>
    <row r="2288" spans="1:3" ht="15" x14ac:dyDescent="0.25">
      <c r="A2288" s="3" t="s">
        <v>333</v>
      </c>
      <c r="B2288" s="3" t="s">
        <v>689</v>
      </c>
      <c r="C2288" s="3" t="s">
        <v>280</v>
      </c>
    </row>
    <row r="2289" spans="1:3" ht="15" x14ac:dyDescent="0.25">
      <c r="A2289" s="3" t="s">
        <v>508</v>
      </c>
      <c r="B2289" s="3" t="s">
        <v>689</v>
      </c>
      <c r="C2289" s="3" t="s">
        <v>280</v>
      </c>
    </row>
    <row r="2290" spans="1:3" ht="15" x14ac:dyDescent="0.25">
      <c r="A2290" s="3" t="s">
        <v>370</v>
      </c>
      <c r="B2290" s="3" t="s">
        <v>689</v>
      </c>
      <c r="C2290" s="3" t="s">
        <v>280</v>
      </c>
    </row>
    <row r="2291" spans="1:3" ht="15" x14ac:dyDescent="0.25">
      <c r="A2291" s="3" t="s">
        <v>275</v>
      </c>
      <c r="B2291" s="3" t="s">
        <v>689</v>
      </c>
      <c r="C2291" s="3" t="s">
        <v>280</v>
      </c>
    </row>
    <row r="2292" spans="1:3" ht="15" x14ac:dyDescent="0.25">
      <c r="A2292" s="3" t="s">
        <v>101</v>
      </c>
      <c r="B2292" s="3" t="s">
        <v>689</v>
      </c>
      <c r="C2292" s="3" t="s">
        <v>280</v>
      </c>
    </row>
    <row r="2293" spans="1:3" ht="15" x14ac:dyDescent="0.25">
      <c r="A2293" s="3" t="s">
        <v>530</v>
      </c>
      <c r="B2293" s="3" t="s">
        <v>689</v>
      </c>
      <c r="C2293" s="3" t="s">
        <v>280</v>
      </c>
    </row>
    <row r="2294" spans="1:3" ht="15" x14ac:dyDescent="0.25">
      <c r="A2294" s="3" t="s">
        <v>120</v>
      </c>
      <c r="B2294" s="3" t="s">
        <v>689</v>
      </c>
      <c r="C2294" s="3" t="s">
        <v>280</v>
      </c>
    </row>
    <row r="2295" spans="1:3" ht="15" x14ac:dyDescent="0.25">
      <c r="A2295" s="3" t="s">
        <v>334</v>
      </c>
      <c r="B2295" s="3" t="s">
        <v>689</v>
      </c>
      <c r="C2295" s="3" t="s">
        <v>280</v>
      </c>
    </row>
    <row r="2296" spans="1:3" ht="15" x14ac:dyDescent="0.25">
      <c r="A2296" s="3" t="s">
        <v>276</v>
      </c>
      <c r="B2296" s="3" t="s">
        <v>689</v>
      </c>
      <c r="C2296" s="3" t="s">
        <v>280</v>
      </c>
    </row>
    <row r="2297" spans="1:3" ht="15" x14ac:dyDescent="0.25">
      <c r="A2297" s="3" t="s">
        <v>102</v>
      </c>
      <c r="B2297" s="3" t="s">
        <v>689</v>
      </c>
      <c r="C2297" s="3" t="s">
        <v>280</v>
      </c>
    </row>
    <row r="2298" spans="1:3" ht="15" x14ac:dyDescent="0.25">
      <c r="A2298" s="3" t="s">
        <v>405</v>
      </c>
      <c r="B2298" s="3" t="s">
        <v>689</v>
      </c>
      <c r="C2298" s="3" t="s">
        <v>280</v>
      </c>
    </row>
    <row r="2299" spans="1:3" ht="15" x14ac:dyDescent="0.25">
      <c r="A2299" s="3" t="s">
        <v>346</v>
      </c>
      <c r="B2299" s="3" t="s">
        <v>689</v>
      </c>
      <c r="C2299" s="3" t="s">
        <v>280</v>
      </c>
    </row>
    <row r="2300" spans="1:3" ht="15" x14ac:dyDescent="0.25">
      <c r="A2300" s="3" t="s">
        <v>613</v>
      </c>
      <c r="B2300" s="3" t="s">
        <v>689</v>
      </c>
      <c r="C2300" s="3" t="s">
        <v>280</v>
      </c>
    </row>
    <row r="2301" spans="1:3" ht="15" x14ac:dyDescent="0.25">
      <c r="A2301" s="3" t="s">
        <v>233</v>
      </c>
      <c r="B2301" s="3" t="s">
        <v>688</v>
      </c>
      <c r="C2301" s="3" t="s">
        <v>280</v>
      </c>
    </row>
    <row r="2302" spans="1:3" ht="15" x14ac:dyDescent="0.25">
      <c r="A2302" s="3" t="s">
        <v>4</v>
      </c>
      <c r="B2302" s="3" t="s">
        <v>688</v>
      </c>
      <c r="C2302" s="3" t="s">
        <v>280</v>
      </c>
    </row>
    <row r="2303" spans="1:3" ht="15" x14ac:dyDescent="0.25">
      <c r="A2303" s="3" t="s">
        <v>285</v>
      </c>
      <c r="B2303" s="3" t="s">
        <v>688</v>
      </c>
      <c r="C2303" s="3" t="s">
        <v>280</v>
      </c>
    </row>
    <row r="2304" spans="1:3" ht="15" x14ac:dyDescent="0.25">
      <c r="A2304" s="3" t="s">
        <v>410</v>
      </c>
      <c r="B2304" s="3" t="s">
        <v>688</v>
      </c>
      <c r="C2304" s="3" t="s">
        <v>280</v>
      </c>
    </row>
    <row r="2305" spans="1:3" ht="15" x14ac:dyDescent="0.25">
      <c r="A2305" s="3" t="s">
        <v>129</v>
      </c>
      <c r="B2305" s="3" t="s">
        <v>688</v>
      </c>
      <c r="C2305" s="3" t="s">
        <v>280</v>
      </c>
    </row>
    <row r="2306" spans="1:3" ht="15" x14ac:dyDescent="0.25">
      <c r="A2306" s="3" t="s">
        <v>431</v>
      </c>
      <c r="B2306" s="3" t="s">
        <v>688</v>
      </c>
      <c r="C2306" s="3" t="s">
        <v>280</v>
      </c>
    </row>
    <row r="2307" spans="1:3" ht="15" x14ac:dyDescent="0.25">
      <c r="A2307" s="3" t="s">
        <v>16</v>
      </c>
      <c r="B2307" s="3" t="s">
        <v>688</v>
      </c>
      <c r="C2307" s="3" t="s">
        <v>280</v>
      </c>
    </row>
    <row r="2308" spans="1:3" ht="15" x14ac:dyDescent="0.25">
      <c r="A2308" s="3" t="s">
        <v>464</v>
      </c>
      <c r="B2308" s="3" t="s">
        <v>688</v>
      </c>
      <c r="C2308" s="3" t="s">
        <v>280</v>
      </c>
    </row>
    <row r="2309" spans="1:3" ht="15" x14ac:dyDescent="0.25">
      <c r="A2309" s="3" t="s">
        <v>138</v>
      </c>
      <c r="B2309" s="3" t="s">
        <v>688</v>
      </c>
      <c r="C2309" s="3" t="s">
        <v>280</v>
      </c>
    </row>
    <row r="2310" spans="1:3" ht="15" x14ac:dyDescent="0.25">
      <c r="A2310" s="3" t="s">
        <v>297</v>
      </c>
      <c r="B2310" s="3" t="s">
        <v>688</v>
      </c>
      <c r="C2310" s="3" t="s">
        <v>280</v>
      </c>
    </row>
    <row r="2311" spans="1:3" ht="15" x14ac:dyDescent="0.25">
      <c r="A2311" s="3" t="s">
        <v>466</v>
      </c>
      <c r="B2311" s="3" t="s">
        <v>688</v>
      </c>
      <c r="C2311" s="3" t="s">
        <v>280</v>
      </c>
    </row>
    <row r="2312" spans="1:3" ht="15" x14ac:dyDescent="0.25">
      <c r="A2312" s="3" t="s">
        <v>299</v>
      </c>
      <c r="B2312" s="3" t="s">
        <v>688</v>
      </c>
      <c r="C2312" s="3" t="s">
        <v>280</v>
      </c>
    </row>
    <row r="2313" spans="1:3" ht="15" x14ac:dyDescent="0.25">
      <c r="A2313" s="3" t="s">
        <v>191</v>
      </c>
      <c r="B2313" s="3" t="s">
        <v>688</v>
      </c>
      <c r="C2313" s="3" t="s">
        <v>280</v>
      </c>
    </row>
    <row r="2314" spans="1:3" ht="15" x14ac:dyDescent="0.25">
      <c r="A2314" s="3" t="s">
        <v>304</v>
      </c>
      <c r="B2314" s="3" t="s">
        <v>688</v>
      </c>
      <c r="C2314" s="3" t="s">
        <v>280</v>
      </c>
    </row>
    <row r="2315" spans="1:3" ht="15" x14ac:dyDescent="0.25">
      <c r="A2315" s="3" t="s">
        <v>310</v>
      </c>
      <c r="B2315" s="3" t="s">
        <v>688</v>
      </c>
      <c r="C2315" s="3" t="s">
        <v>280</v>
      </c>
    </row>
    <row r="2316" spans="1:3" ht="15" x14ac:dyDescent="0.25">
      <c r="A2316" s="3" t="s">
        <v>545</v>
      </c>
      <c r="B2316" s="3" t="s">
        <v>688</v>
      </c>
      <c r="C2316" s="3" t="s">
        <v>280</v>
      </c>
    </row>
    <row r="2317" spans="1:3" ht="15" x14ac:dyDescent="0.25">
      <c r="A2317" s="3" t="s">
        <v>351</v>
      </c>
      <c r="B2317" s="3" t="s">
        <v>688</v>
      </c>
      <c r="C2317" s="3" t="s">
        <v>280</v>
      </c>
    </row>
    <row r="2318" spans="1:3" ht="15" x14ac:dyDescent="0.25">
      <c r="A2318" s="3" t="s">
        <v>316</v>
      </c>
      <c r="B2318" s="3" t="s">
        <v>688</v>
      </c>
      <c r="C2318" s="3" t="s">
        <v>280</v>
      </c>
    </row>
    <row r="2319" spans="1:3" ht="15" x14ac:dyDescent="0.25">
      <c r="A2319" s="3" t="s">
        <v>178</v>
      </c>
      <c r="B2319" s="3" t="s">
        <v>688</v>
      </c>
      <c r="C2319" s="3" t="s">
        <v>280</v>
      </c>
    </row>
    <row r="2320" spans="1:3" ht="15" x14ac:dyDescent="0.25">
      <c r="A2320" s="3" t="s">
        <v>686</v>
      </c>
      <c r="B2320" s="3" t="s">
        <v>688</v>
      </c>
      <c r="C2320" s="3" t="s">
        <v>280</v>
      </c>
    </row>
    <row r="2321" spans="1:3" ht="15" x14ac:dyDescent="0.25">
      <c r="A2321" s="3" t="s">
        <v>471</v>
      </c>
      <c r="B2321" s="3" t="s">
        <v>688</v>
      </c>
      <c r="C2321" s="3" t="s">
        <v>280</v>
      </c>
    </row>
    <row r="2322" spans="1:3" ht="15" x14ac:dyDescent="0.25">
      <c r="A2322" s="3" t="s">
        <v>264</v>
      </c>
      <c r="B2322" s="3" t="s">
        <v>688</v>
      </c>
      <c r="C2322" s="3" t="s">
        <v>280</v>
      </c>
    </row>
    <row r="2323" spans="1:3" ht="15" x14ac:dyDescent="0.25">
      <c r="A2323" s="3" t="s">
        <v>81</v>
      </c>
      <c r="B2323" s="3" t="s">
        <v>688</v>
      </c>
      <c r="C2323" s="3" t="s">
        <v>280</v>
      </c>
    </row>
    <row r="2324" spans="1:3" ht="15" x14ac:dyDescent="0.25">
      <c r="A2324" s="3" t="s">
        <v>375</v>
      </c>
      <c r="B2324" s="3" t="s">
        <v>688</v>
      </c>
      <c r="C2324" s="3" t="s">
        <v>280</v>
      </c>
    </row>
    <row r="2325" spans="1:3" ht="15" x14ac:dyDescent="0.25">
      <c r="A2325" s="3" t="s">
        <v>382</v>
      </c>
      <c r="B2325" s="3" t="s">
        <v>688</v>
      </c>
      <c r="C2325" s="3" t="s">
        <v>280</v>
      </c>
    </row>
    <row r="2326" spans="1:3" ht="15" x14ac:dyDescent="0.25">
      <c r="A2326" s="3" t="s">
        <v>276</v>
      </c>
      <c r="B2326" s="3" t="s">
        <v>688</v>
      </c>
      <c r="C2326" s="3" t="s">
        <v>280</v>
      </c>
    </row>
    <row r="2327" spans="1:3" ht="15" x14ac:dyDescent="0.25">
      <c r="A2327" s="3" t="s">
        <v>405</v>
      </c>
      <c r="B2327" s="3" t="s">
        <v>688</v>
      </c>
      <c r="C2327" s="3" t="s">
        <v>280</v>
      </c>
    </row>
    <row r="2328" spans="1:3" ht="15" x14ac:dyDescent="0.25">
      <c r="A2328" s="3" t="s">
        <v>131</v>
      </c>
      <c r="B2328" s="3" t="s">
        <v>688</v>
      </c>
      <c r="C2328" s="3" t="s">
        <v>280</v>
      </c>
    </row>
    <row r="2329" spans="1:3" ht="15" x14ac:dyDescent="0.25">
      <c r="A2329" s="3" t="s">
        <v>122</v>
      </c>
      <c r="B2329" s="3" t="s">
        <v>688</v>
      </c>
      <c r="C2329" s="3" t="s">
        <v>280</v>
      </c>
    </row>
    <row r="2330" spans="1:3" ht="15" x14ac:dyDescent="0.25">
      <c r="A2330" s="3" t="s">
        <v>207</v>
      </c>
      <c r="B2330" s="3" t="s">
        <v>682</v>
      </c>
      <c r="C2330" s="3" t="s">
        <v>280</v>
      </c>
    </row>
    <row r="2331" spans="1:3" ht="15" x14ac:dyDescent="0.25">
      <c r="A2331" s="3" t="s">
        <v>8</v>
      </c>
      <c r="B2331" s="3" t="s">
        <v>682</v>
      </c>
      <c r="C2331" s="3" t="s">
        <v>280</v>
      </c>
    </row>
    <row r="2332" spans="1:3" ht="15" x14ac:dyDescent="0.25">
      <c r="A2332" s="3" t="s">
        <v>183</v>
      </c>
      <c r="B2332" s="3" t="s">
        <v>682</v>
      </c>
      <c r="C2332" s="3" t="s">
        <v>280</v>
      </c>
    </row>
    <row r="2333" spans="1:3" ht="15" x14ac:dyDescent="0.25">
      <c r="A2333" s="3" t="s">
        <v>124</v>
      </c>
      <c r="B2333" s="3" t="s">
        <v>682</v>
      </c>
      <c r="C2333" s="3" t="s">
        <v>280</v>
      </c>
    </row>
    <row r="2334" spans="1:3" ht="15" x14ac:dyDescent="0.25">
      <c r="A2334" s="3" t="s">
        <v>281</v>
      </c>
      <c r="B2334" s="3" t="s">
        <v>682</v>
      </c>
      <c r="C2334" s="3" t="s">
        <v>280</v>
      </c>
    </row>
    <row r="2335" spans="1:3" ht="15" x14ac:dyDescent="0.25">
      <c r="A2335" s="3" t="s">
        <v>103</v>
      </c>
      <c r="B2335" s="3" t="s">
        <v>682</v>
      </c>
      <c r="C2335" s="3" t="s">
        <v>280</v>
      </c>
    </row>
    <row r="2336" spans="1:3" ht="15" x14ac:dyDescent="0.25">
      <c r="A2336" s="3" t="s">
        <v>283</v>
      </c>
      <c r="B2336" s="3" t="s">
        <v>682</v>
      </c>
      <c r="C2336" s="3" t="s">
        <v>280</v>
      </c>
    </row>
    <row r="2337" spans="1:3" ht="15" x14ac:dyDescent="0.25">
      <c r="A2337" s="3" t="s">
        <v>646</v>
      </c>
      <c r="B2337" s="3" t="s">
        <v>682</v>
      </c>
      <c r="C2337" s="3" t="s">
        <v>280</v>
      </c>
    </row>
    <row r="2338" spans="1:3" ht="15" x14ac:dyDescent="0.25">
      <c r="A2338" s="3" t="s">
        <v>127</v>
      </c>
      <c r="B2338" s="3" t="s">
        <v>682</v>
      </c>
      <c r="C2338" s="3" t="s">
        <v>280</v>
      </c>
    </row>
    <row r="2339" spans="1:3" ht="15" x14ac:dyDescent="0.25">
      <c r="A2339" s="3" t="s">
        <v>209</v>
      </c>
      <c r="B2339" s="3" t="s">
        <v>682</v>
      </c>
      <c r="C2339" s="3" t="s">
        <v>280</v>
      </c>
    </row>
    <row r="2340" spans="1:3" ht="15" x14ac:dyDescent="0.25">
      <c r="A2340" s="3" t="s">
        <v>671</v>
      </c>
      <c r="B2340" s="3" t="s">
        <v>682</v>
      </c>
      <c r="C2340" s="3" t="s">
        <v>280</v>
      </c>
    </row>
    <row r="2341" spans="1:3" ht="15" x14ac:dyDescent="0.25">
      <c r="A2341" s="3" t="s">
        <v>11</v>
      </c>
      <c r="B2341" s="3" t="s">
        <v>682</v>
      </c>
      <c r="C2341" s="3" t="s">
        <v>280</v>
      </c>
    </row>
    <row r="2342" spans="1:3" ht="15" x14ac:dyDescent="0.25">
      <c r="A2342" s="3" t="s">
        <v>284</v>
      </c>
      <c r="B2342" s="3" t="s">
        <v>682</v>
      </c>
      <c r="C2342" s="3" t="s">
        <v>280</v>
      </c>
    </row>
    <row r="2343" spans="1:3" ht="15" x14ac:dyDescent="0.25">
      <c r="A2343" s="3" t="s">
        <v>188</v>
      </c>
      <c r="B2343" s="3" t="s">
        <v>682</v>
      </c>
      <c r="C2343" s="3" t="s">
        <v>280</v>
      </c>
    </row>
    <row r="2344" spans="1:3" ht="15" x14ac:dyDescent="0.25">
      <c r="A2344" s="3" t="s">
        <v>285</v>
      </c>
      <c r="B2344" s="3" t="s">
        <v>682</v>
      </c>
      <c r="C2344" s="3" t="s">
        <v>280</v>
      </c>
    </row>
    <row r="2345" spans="1:3" ht="15" x14ac:dyDescent="0.25">
      <c r="A2345" s="3" t="s">
        <v>286</v>
      </c>
      <c r="B2345" s="3" t="s">
        <v>682</v>
      </c>
      <c r="C2345" s="3" t="s">
        <v>280</v>
      </c>
    </row>
    <row r="2346" spans="1:3" ht="15" x14ac:dyDescent="0.25">
      <c r="A2346" s="3" t="s">
        <v>410</v>
      </c>
      <c r="B2346" s="3" t="s">
        <v>682</v>
      </c>
      <c r="C2346" s="3" t="s">
        <v>280</v>
      </c>
    </row>
    <row r="2347" spans="1:3" ht="15" x14ac:dyDescent="0.25">
      <c r="A2347" s="3" t="s">
        <v>164</v>
      </c>
      <c r="B2347" s="3" t="s">
        <v>682</v>
      </c>
      <c r="C2347" s="3" t="s">
        <v>280</v>
      </c>
    </row>
    <row r="2348" spans="1:3" ht="15" x14ac:dyDescent="0.25">
      <c r="A2348" s="3" t="s">
        <v>189</v>
      </c>
      <c r="B2348" s="3" t="s">
        <v>682</v>
      </c>
      <c r="C2348" s="3" t="s">
        <v>280</v>
      </c>
    </row>
    <row r="2349" spans="1:3" ht="15" x14ac:dyDescent="0.25">
      <c r="A2349" s="3" t="s">
        <v>210</v>
      </c>
      <c r="B2349" s="3" t="s">
        <v>682</v>
      </c>
      <c r="C2349" s="3" t="s">
        <v>280</v>
      </c>
    </row>
    <row r="2350" spans="1:3" ht="15" x14ac:dyDescent="0.25">
      <c r="A2350" s="3" t="s">
        <v>287</v>
      </c>
      <c r="B2350" s="3" t="s">
        <v>682</v>
      </c>
      <c r="C2350" s="3" t="s">
        <v>280</v>
      </c>
    </row>
    <row r="2351" spans="1:3" ht="15" x14ac:dyDescent="0.25">
      <c r="A2351" s="3" t="s">
        <v>12</v>
      </c>
      <c r="B2351" s="3" t="s">
        <v>682</v>
      </c>
      <c r="C2351" s="3" t="s">
        <v>280</v>
      </c>
    </row>
    <row r="2352" spans="1:3" ht="15" x14ac:dyDescent="0.25">
      <c r="A2352" s="3" t="s">
        <v>484</v>
      </c>
      <c r="B2352" s="3" t="s">
        <v>682</v>
      </c>
      <c r="C2352" s="3" t="s">
        <v>280</v>
      </c>
    </row>
    <row r="2353" spans="1:3" ht="15" x14ac:dyDescent="0.25">
      <c r="A2353" s="3" t="s">
        <v>190</v>
      </c>
      <c r="B2353" s="3" t="s">
        <v>682</v>
      </c>
      <c r="C2353" s="3" t="s">
        <v>280</v>
      </c>
    </row>
    <row r="2354" spans="1:3" ht="15" x14ac:dyDescent="0.25">
      <c r="A2354" s="3" t="s">
        <v>658</v>
      </c>
      <c r="B2354" s="3" t="s">
        <v>682</v>
      </c>
      <c r="C2354" s="3" t="s">
        <v>280</v>
      </c>
    </row>
    <row r="2355" spans="1:3" ht="15" x14ac:dyDescent="0.25">
      <c r="A2355" s="3" t="s">
        <v>288</v>
      </c>
      <c r="B2355" s="3" t="s">
        <v>682</v>
      </c>
      <c r="C2355" s="3" t="s">
        <v>280</v>
      </c>
    </row>
    <row r="2356" spans="1:3" ht="15" x14ac:dyDescent="0.25">
      <c r="A2356" s="3" t="s">
        <v>13</v>
      </c>
      <c r="B2356" s="3" t="s">
        <v>682</v>
      </c>
      <c r="C2356" s="3" t="s">
        <v>280</v>
      </c>
    </row>
    <row r="2357" spans="1:3" ht="15" x14ac:dyDescent="0.25">
      <c r="A2357" s="3" t="s">
        <v>289</v>
      </c>
      <c r="B2357" s="3" t="s">
        <v>682</v>
      </c>
      <c r="C2357" s="3" t="s">
        <v>280</v>
      </c>
    </row>
    <row r="2358" spans="1:3" ht="15" x14ac:dyDescent="0.25">
      <c r="A2358" s="3" t="s">
        <v>106</v>
      </c>
      <c r="B2358" s="3" t="s">
        <v>682</v>
      </c>
      <c r="C2358" s="3" t="s">
        <v>280</v>
      </c>
    </row>
    <row r="2359" spans="1:3" ht="15" x14ac:dyDescent="0.25">
      <c r="A2359" s="3" t="s">
        <v>349</v>
      </c>
      <c r="B2359" s="3" t="s">
        <v>682</v>
      </c>
      <c r="C2359" s="3" t="s">
        <v>280</v>
      </c>
    </row>
    <row r="2360" spans="1:3" ht="15" x14ac:dyDescent="0.25">
      <c r="A2360" s="3" t="s">
        <v>486</v>
      </c>
      <c r="B2360" s="3" t="s">
        <v>682</v>
      </c>
      <c r="C2360" s="3" t="s">
        <v>280</v>
      </c>
    </row>
    <row r="2361" spans="1:3" ht="15" x14ac:dyDescent="0.25">
      <c r="A2361" s="3" t="s">
        <v>291</v>
      </c>
      <c r="B2361" s="3" t="s">
        <v>682</v>
      </c>
      <c r="C2361" s="3" t="s">
        <v>280</v>
      </c>
    </row>
    <row r="2362" spans="1:3" ht="15" x14ac:dyDescent="0.25">
      <c r="A2362" s="3" t="s">
        <v>532</v>
      </c>
      <c r="B2362" s="3" t="s">
        <v>682</v>
      </c>
      <c r="C2362" s="3" t="s">
        <v>280</v>
      </c>
    </row>
    <row r="2363" spans="1:3" ht="15" x14ac:dyDescent="0.25">
      <c r="A2363" s="3" t="s">
        <v>292</v>
      </c>
      <c r="B2363" s="3" t="s">
        <v>682</v>
      </c>
      <c r="C2363" s="3" t="s">
        <v>280</v>
      </c>
    </row>
    <row r="2364" spans="1:3" ht="15" x14ac:dyDescent="0.25">
      <c r="A2364" s="3" t="s">
        <v>212</v>
      </c>
      <c r="B2364" s="3" t="s">
        <v>682</v>
      </c>
      <c r="C2364" s="3" t="s">
        <v>280</v>
      </c>
    </row>
    <row r="2365" spans="1:3" ht="15" x14ac:dyDescent="0.25">
      <c r="A2365" s="3" t="s">
        <v>294</v>
      </c>
      <c r="B2365" s="3" t="s">
        <v>682</v>
      </c>
      <c r="C2365" s="3" t="s">
        <v>280</v>
      </c>
    </row>
    <row r="2366" spans="1:3" ht="15" x14ac:dyDescent="0.25">
      <c r="A2366" s="3" t="s">
        <v>295</v>
      </c>
      <c r="B2366" s="3" t="s">
        <v>682</v>
      </c>
      <c r="C2366" s="3" t="s">
        <v>280</v>
      </c>
    </row>
    <row r="2367" spans="1:3" ht="15" x14ac:dyDescent="0.25">
      <c r="A2367" s="3" t="s">
        <v>536</v>
      </c>
      <c r="B2367" s="3" t="s">
        <v>682</v>
      </c>
      <c r="C2367" s="3" t="s">
        <v>280</v>
      </c>
    </row>
    <row r="2368" spans="1:3" ht="15" x14ac:dyDescent="0.25">
      <c r="A2368" s="3" t="s">
        <v>296</v>
      </c>
      <c r="B2368" s="3" t="s">
        <v>682</v>
      </c>
      <c r="C2368" s="3" t="s">
        <v>280</v>
      </c>
    </row>
    <row r="2369" spans="1:3" ht="15" x14ac:dyDescent="0.25">
      <c r="A2369" s="3" t="s">
        <v>20</v>
      </c>
      <c r="B2369" s="3" t="s">
        <v>682</v>
      </c>
      <c r="C2369" s="3" t="s">
        <v>280</v>
      </c>
    </row>
    <row r="2370" spans="1:3" ht="15" x14ac:dyDescent="0.25">
      <c r="A2370" s="3" t="s">
        <v>169</v>
      </c>
      <c r="B2370" s="3" t="s">
        <v>682</v>
      </c>
      <c r="C2370" s="3" t="s">
        <v>280</v>
      </c>
    </row>
    <row r="2371" spans="1:3" ht="15" x14ac:dyDescent="0.25">
      <c r="A2371" s="3" t="s">
        <v>138</v>
      </c>
      <c r="B2371" s="3" t="s">
        <v>682</v>
      </c>
      <c r="C2371" s="3" t="s">
        <v>280</v>
      </c>
    </row>
    <row r="2372" spans="1:3" ht="15" x14ac:dyDescent="0.25">
      <c r="A2372" s="3" t="s">
        <v>241</v>
      </c>
      <c r="B2372" s="3" t="s">
        <v>682</v>
      </c>
      <c r="C2372" s="3" t="s">
        <v>280</v>
      </c>
    </row>
    <row r="2373" spans="1:3" ht="15" x14ac:dyDescent="0.25">
      <c r="A2373" s="3" t="s">
        <v>676</v>
      </c>
      <c r="B2373" s="3" t="s">
        <v>682</v>
      </c>
      <c r="C2373" s="3" t="s">
        <v>280</v>
      </c>
    </row>
    <row r="2374" spans="1:3" ht="15" x14ac:dyDescent="0.25">
      <c r="A2374" s="3" t="s">
        <v>214</v>
      </c>
      <c r="B2374" s="3" t="s">
        <v>682</v>
      </c>
      <c r="C2374" s="3" t="s">
        <v>280</v>
      </c>
    </row>
    <row r="2375" spans="1:3" ht="15" x14ac:dyDescent="0.25">
      <c r="A2375" s="3" t="s">
        <v>297</v>
      </c>
      <c r="B2375" s="3" t="s">
        <v>682</v>
      </c>
      <c r="C2375" s="3" t="s">
        <v>280</v>
      </c>
    </row>
    <row r="2376" spans="1:3" ht="15" x14ac:dyDescent="0.25">
      <c r="A2376" s="3" t="s">
        <v>170</v>
      </c>
      <c r="B2376" s="3" t="s">
        <v>682</v>
      </c>
      <c r="C2376" s="3" t="s">
        <v>280</v>
      </c>
    </row>
    <row r="2377" spans="1:3" ht="15" x14ac:dyDescent="0.25">
      <c r="A2377" s="3" t="s">
        <v>25</v>
      </c>
      <c r="B2377" s="3" t="s">
        <v>682</v>
      </c>
      <c r="C2377" s="3" t="s">
        <v>280</v>
      </c>
    </row>
    <row r="2378" spans="1:3" ht="15" x14ac:dyDescent="0.25">
      <c r="A2378" s="3" t="s">
        <v>533</v>
      </c>
      <c r="B2378" s="3" t="s">
        <v>682</v>
      </c>
      <c r="C2378" s="3" t="s">
        <v>280</v>
      </c>
    </row>
    <row r="2379" spans="1:3" ht="15" x14ac:dyDescent="0.25">
      <c r="A2379" s="3" t="s">
        <v>389</v>
      </c>
      <c r="B2379" s="3" t="s">
        <v>682</v>
      </c>
      <c r="C2379" s="3" t="s">
        <v>280</v>
      </c>
    </row>
    <row r="2380" spans="1:3" ht="15" x14ac:dyDescent="0.25">
      <c r="A2380" s="3" t="s">
        <v>135</v>
      </c>
      <c r="B2380" s="3" t="s">
        <v>682</v>
      </c>
      <c r="C2380" s="3" t="s">
        <v>280</v>
      </c>
    </row>
    <row r="2381" spans="1:3" ht="15" x14ac:dyDescent="0.25">
      <c r="A2381" s="3" t="s">
        <v>298</v>
      </c>
      <c r="B2381" s="3" t="s">
        <v>682</v>
      </c>
      <c r="C2381" s="3" t="s">
        <v>280</v>
      </c>
    </row>
    <row r="2382" spans="1:3" ht="15" x14ac:dyDescent="0.25">
      <c r="A2382" s="3" t="s">
        <v>243</v>
      </c>
      <c r="B2382" s="3" t="s">
        <v>682</v>
      </c>
      <c r="C2382" s="3" t="s">
        <v>280</v>
      </c>
    </row>
    <row r="2383" spans="1:3" ht="15" x14ac:dyDescent="0.25">
      <c r="A2383" s="3" t="s">
        <v>216</v>
      </c>
      <c r="B2383" s="3" t="s">
        <v>682</v>
      </c>
      <c r="C2383" s="3" t="s">
        <v>280</v>
      </c>
    </row>
    <row r="2384" spans="1:3" ht="15" x14ac:dyDescent="0.25">
      <c r="A2384" s="3" t="s">
        <v>172</v>
      </c>
      <c r="B2384" s="3" t="s">
        <v>682</v>
      </c>
      <c r="C2384" s="3" t="s">
        <v>280</v>
      </c>
    </row>
    <row r="2385" spans="1:3" ht="15" x14ac:dyDescent="0.25">
      <c r="A2385" s="3" t="s">
        <v>244</v>
      </c>
      <c r="B2385" s="3" t="s">
        <v>682</v>
      </c>
      <c r="C2385" s="3" t="s">
        <v>280</v>
      </c>
    </row>
    <row r="2386" spans="1:3" ht="15" x14ac:dyDescent="0.25">
      <c r="A2386" s="3" t="s">
        <v>663</v>
      </c>
      <c r="B2386" s="3" t="s">
        <v>682</v>
      </c>
      <c r="C2386" s="3" t="s">
        <v>280</v>
      </c>
    </row>
    <row r="2387" spans="1:3" ht="15" x14ac:dyDescent="0.25">
      <c r="A2387" s="3" t="s">
        <v>246</v>
      </c>
      <c r="B2387" s="3" t="s">
        <v>682</v>
      </c>
      <c r="C2387" s="3" t="s">
        <v>280</v>
      </c>
    </row>
    <row r="2388" spans="1:3" ht="15" x14ac:dyDescent="0.25">
      <c r="A2388" s="3" t="s">
        <v>634</v>
      </c>
      <c r="B2388" s="3" t="s">
        <v>682</v>
      </c>
      <c r="C2388" s="3" t="s">
        <v>280</v>
      </c>
    </row>
    <row r="2389" spans="1:3" ht="15" x14ac:dyDescent="0.25">
      <c r="A2389" s="3" t="s">
        <v>299</v>
      </c>
      <c r="B2389" s="3" t="s">
        <v>682</v>
      </c>
      <c r="C2389" s="3" t="s">
        <v>280</v>
      </c>
    </row>
    <row r="2390" spans="1:3" ht="15" x14ac:dyDescent="0.25">
      <c r="A2390" s="3" t="s">
        <v>516</v>
      </c>
      <c r="B2390" s="3" t="s">
        <v>682</v>
      </c>
      <c r="C2390" s="3" t="s">
        <v>280</v>
      </c>
    </row>
    <row r="2391" spans="1:3" ht="15" x14ac:dyDescent="0.25">
      <c r="A2391" s="3" t="s">
        <v>249</v>
      </c>
      <c r="B2391" s="3" t="s">
        <v>682</v>
      </c>
      <c r="C2391" s="3" t="s">
        <v>280</v>
      </c>
    </row>
    <row r="2392" spans="1:3" ht="15" x14ac:dyDescent="0.25">
      <c r="A2392" s="3" t="s">
        <v>142</v>
      </c>
      <c r="B2392" s="3" t="s">
        <v>682</v>
      </c>
      <c r="C2392" s="3" t="s">
        <v>280</v>
      </c>
    </row>
    <row r="2393" spans="1:3" ht="15" x14ac:dyDescent="0.25">
      <c r="A2393" s="3" t="s">
        <v>113</v>
      </c>
      <c r="B2393" s="3" t="s">
        <v>682</v>
      </c>
      <c r="C2393" s="3" t="s">
        <v>280</v>
      </c>
    </row>
    <row r="2394" spans="1:3" ht="15" x14ac:dyDescent="0.25">
      <c r="A2394" s="3" t="s">
        <v>193</v>
      </c>
      <c r="B2394" s="3" t="s">
        <v>682</v>
      </c>
      <c r="C2394" s="3" t="s">
        <v>280</v>
      </c>
    </row>
    <row r="2395" spans="1:3" ht="15" x14ac:dyDescent="0.25">
      <c r="A2395" s="3" t="s">
        <v>31</v>
      </c>
      <c r="B2395" s="3" t="s">
        <v>682</v>
      </c>
      <c r="C2395" s="3" t="s">
        <v>280</v>
      </c>
    </row>
    <row r="2396" spans="1:3" ht="15" x14ac:dyDescent="0.25">
      <c r="A2396" s="3" t="s">
        <v>492</v>
      </c>
      <c r="B2396" s="3" t="s">
        <v>682</v>
      </c>
      <c r="C2396" s="3" t="s">
        <v>280</v>
      </c>
    </row>
    <row r="2397" spans="1:3" ht="15" x14ac:dyDescent="0.25">
      <c r="A2397" s="3" t="s">
        <v>564</v>
      </c>
      <c r="B2397" s="3" t="s">
        <v>682</v>
      </c>
      <c r="C2397" s="3" t="s">
        <v>280</v>
      </c>
    </row>
    <row r="2398" spans="1:3" ht="15" x14ac:dyDescent="0.25">
      <c r="A2398" s="3" t="s">
        <v>449</v>
      </c>
      <c r="B2398" s="3" t="s">
        <v>682</v>
      </c>
      <c r="C2398" s="3" t="s">
        <v>280</v>
      </c>
    </row>
    <row r="2399" spans="1:3" ht="15" x14ac:dyDescent="0.25">
      <c r="A2399" s="3" t="s">
        <v>301</v>
      </c>
      <c r="B2399" s="3" t="s">
        <v>682</v>
      </c>
      <c r="C2399" s="3" t="s">
        <v>280</v>
      </c>
    </row>
    <row r="2400" spans="1:3" ht="15" x14ac:dyDescent="0.25">
      <c r="A2400" s="3" t="s">
        <v>302</v>
      </c>
      <c r="B2400" s="3" t="s">
        <v>682</v>
      </c>
      <c r="C2400" s="3" t="s">
        <v>280</v>
      </c>
    </row>
    <row r="2401" spans="1:3" ht="15" x14ac:dyDescent="0.25">
      <c r="A2401" s="3" t="s">
        <v>350</v>
      </c>
      <c r="B2401" s="3" t="s">
        <v>682</v>
      </c>
      <c r="C2401" s="3" t="s">
        <v>280</v>
      </c>
    </row>
    <row r="2402" spans="1:3" ht="15" x14ac:dyDescent="0.25">
      <c r="A2402" s="3" t="s">
        <v>33</v>
      </c>
      <c r="B2402" s="3" t="s">
        <v>682</v>
      </c>
      <c r="C2402" s="3" t="s">
        <v>280</v>
      </c>
    </row>
    <row r="2403" spans="1:3" ht="15" x14ac:dyDescent="0.25">
      <c r="A2403" s="3" t="s">
        <v>250</v>
      </c>
      <c r="B2403" s="3" t="s">
        <v>682</v>
      </c>
      <c r="C2403" s="3" t="s">
        <v>280</v>
      </c>
    </row>
    <row r="2404" spans="1:3" ht="15" x14ac:dyDescent="0.25">
      <c r="A2404" s="3" t="s">
        <v>253</v>
      </c>
      <c r="B2404" s="3" t="s">
        <v>682</v>
      </c>
      <c r="C2404" s="3" t="s">
        <v>280</v>
      </c>
    </row>
    <row r="2405" spans="1:3" ht="15" x14ac:dyDescent="0.25">
      <c r="A2405" s="3" t="s">
        <v>655</v>
      </c>
      <c r="B2405" s="3" t="s">
        <v>682</v>
      </c>
      <c r="C2405" s="3" t="s">
        <v>280</v>
      </c>
    </row>
    <row r="2406" spans="1:3" ht="15" x14ac:dyDescent="0.25">
      <c r="A2406" s="3" t="s">
        <v>667</v>
      </c>
      <c r="B2406" s="3" t="s">
        <v>682</v>
      </c>
      <c r="C2406" s="3" t="s">
        <v>280</v>
      </c>
    </row>
    <row r="2407" spans="1:3" ht="15" x14ac:dyDescent="0.25">
      <c r="A2407" s="3" t="s">
        <v>194</v>
      </c>
      <c r="B2407" s="3" t="s">
        <v>682</v>
      </c>
      <c r="C2407" s="3" t="s">
        <v>280</v>
      </c>
    </row>
    <row r="2408" spans="1:3" ht="15" x14ac:dyDescent="0.25">
      <c r="A2408" s="3" t="s">
        <v>195</v>
      </c>
      <c r="B2408" s="3" t="s">
        <v>682</v>
      </c>
      <c r="C2408" s="3" t="s">
        <v>280</v>
      </c>
    </row>
    <row r="2409" spans="1:3" ht="15" x14ac:dyDescent="0.25">
      <c r="A2409" s="3" t="s">
        <v>36</v>
      </c>
      <c r="B2409" s="3" t="s">
        <v>682</v>
      </c>
      <c r="C2409" s="3" t="s">
        <v>280</v>
      </c>
    </row>
    <row r="2410" spans="1:3" ht="15" x14ac:dyDescent="0.25">
      <c r="A2410" s="3" t="s">
        <v>451</v>
      </c>
      <c r="B2410" s="3" t="s">
        <v>682</v>
      </c>
      <c r="C2410" s="3" t="s">
        <v>280</v>
      </c>
    </row>
    <row r="2411" spans="1:3" ht="15" x14ac:dyDescent="0.25">
      <c r="A2411" s="3" t="s">
        <v>146</v>
      </c>
      <c r="B2411" s="3" t="s">
        <v>682</v>
      </c>
      <c r="C2411" s="3" t="s">
        <v>280</v>
      </c>
    </row>
    <row r="2412" spans="1:3" ht="15" x14ac:dyDescent="0.25">
      <c r="A2412" s="3" t="s">
        <v>303</v>
      </c>
      <c r="B2412" s="3" t="s">
        <v>682</v>
      </c>
      <c r="C2412" s="3" t="s">
        <v>280</v>
      </c>
    </row>
    <row r="2413" spans="1:3" ht="15" x14ac:dyDescent="0.25">
      <c r="A2413" s="3" t="s">
        <v>254</v>
      </c>
      <c r="B2413" s="3" t="s">
        <v>682</v>
      </c>
      <c r="C2413" s="3" t="s">
        <v>280</v>
      </c>
    </row>
    <row r="2414" spans="1:3" ht="15" x14ac:dyDescent="0.25">
      <c r="A2414" s="3" t="s">
        <v>542</v>
      </c>
      <c r="B2414" s="3" t="s">
        <v>682</v>
      </c>
      <c r="C2414" s="3" t="s">
        <v>280</v>
      </c>
    </row>
    <row r="2415" spans="1:3" ht="15" x14ac:dyDescent="0.25">
      <c r="A2415" s="3" t="s">
        <v>305</v>
      </c>
      <c r="B2415" s="3" t="s">
        <v>682</v>
      </c>
      <c r="C2415" s="3" t="s">
        <v>280</v>
      </c>
    </row>
    <row r="2416" spans="1:3" ht="15" x14ac:dyDescent="0.25">
      <c r="A2416" s="3" t="s">
        <v>128</v>
      </c>
      <c r="B2416" s="3" t="s">
        <v>682</v>
      </c>
      <c r="C2416" s="3" t="s">
        <v>280</v>
      </c>
    </row>
    <row r="2417" spans="1:3" ht="15" x14ac:dyDescent="0.25">
      <c r="A2417" s="3" t="s">
        <v>41</v>
      </c>
      <c r="B2417" s="3" t="s">
        <v>682</v>
      </c>
      <c r="C2417" s="3" t="s">
        <v>280</v>
      </c>
    </row>
    <row r="2418" spans="1:3" ht="15" x14ac:dyDescent="0.25">
      <c r="A2418" s="3" t="s">
        <v>197</v>
      </c>
      <c r="B2418" s="3" t="s">
        <v>682</v>
      </c>
      <c r="C2418" s="3" t="s">
        <v>280</v>
      </c>
    </row>
    <row r="2419" spans="1:3" ht="15" x14ac:dyDescent="0.25">
      <c r="A2419" s="3" t="s">
        <v>141</v>
      </c>
      <c r="B2419" s="3" t="s">
        <v>682</v>
      </c>
      <c r="C2419" s="3" t="s">
        <v>280</v>
      </c>
    </row>
    <row r="2420" spans="1:3" ht="15" x14ac:dyDescent="0.25">
      <c r="A2420" s="3" t="s">
        <v>308</v>
      </c>
      <c r="B2420" s="3" t="s">
        <v>682</v>
      </c>
      <c r="C2420" s="3" t="s">
        <v>280</v>
      </c>
    </row>
    <row r="2421" spans="1:3" ht="15" x14ac:dyDescent="0.25">
      <c r="A2421" s="3" t="s">
        <v>310</v>
      </c>
      <c r="B2421" s="3" t="s">
        <v>682</v>
      </c>
      <c r="C2421" s="3" t="s">
        <v>280</v>
      </c>
    </row>
    <row r="2422" spans="1:3" ht="15" x14ac:dyDescent="0.25">
      <c r="A2422" s="3" t="s">
        <v>174</v>
      </c>
      <c r="B2422" s="3" t="s">
        <v>682</v>
      </c>
      <c r="C2422" s="3" t="s">
        <v>280</v>
      </c>
    </row>
    <row r="2423" spans="1:3" ht="15" x14ac:dyDescent="0.25">
      <c r="A2423" s="3" t="s">
        <v>340</v>
      </c>
      <c r="B2423" s="3" t="s">
        <v>682</v>
      </c>
      <c r="C2423" s="3" t="s">
        <v>280</v>
      </c>
    </row>
    <row r="2424" spans="1:3" ht="15" x14ac:dyDescent="0.25">
      <c r="A2424" s="3" t="s">
        <v>175</v>
      </c>
      <c r="B2424" s="3" t="s">
        <v>682</v>
      </c>
      <c r="C2424" s="3" t="s">
        <v>280</v>
      </c>
    </row>
    <row r="2425" spans="1:3" ht="15" x14ac:dyDescent="0.25">
      <c r="A2425" s="3" t="s">
        <v>313</v>
      </c>
      <c r="B2425" s="3" t="s">
        <v>682</v>
      </c>
      <c r="C2425" s="3" t="s">
        <v>280</v>
      </c>
    </row>
    <row r="2426" spans="1:3" ht="15" x14ac:dyDescent="0.25">
      <c r="A2426" s="3" t="s">
        <v>314</v>
      </c>
      <c r="B2426" s="3" t="s">
        <v>682</v>
      </c>
      <c r="C2426" s="3" t="s">
        <v>280</v>
      </c>
    </row>
    <row r="2427" spans="1:3" ht="15" x14ac:dyDescent="0.25">
      <c r="A2427" s="3" t="s">
        <v>221</v>
      </c>
      <c r="B2427" s="3" t="s">
        <v>682</v>
      </c>
      <c r="C2427" s="3" t="s">
        <v>280</v>
      </c>
    </row>
    <row r="2428" spans="1:3" ht="15" x14ac:dyDescent="0.25">
      <c r="A2428" s="3" t="s">
        <v>351</v>
      </c>
      <c r="B2428" s="3" t="s">
        <v>682</v>
      </c>
      <c r="C2428" s="3" t="s">
        <v>280</v>
      </c>
    </row>
    <row r="2429" spans="1:3" ht="15" x14ac:dyDescent="0.25">
      <c r="A2429" s="3" t="s">
        <v>417</v>
      </c>
      <c r="B2429" s="3" t="s">
        <v>682</v>
      </c>
      <c r="C2429" s="3" t="s">
        <v>280</v>
      </c>
    </row>
    <row r="2430" spans="1:3" ht="15" x14ac:dyDescent="0.25">
      <c r="A2430" s="3" t="s">
        <v>178</v>
      </c>
      <c r="B2430" s="3" t="s">
        <v>682</v>
      </c>
      <c r="C2430" s="3" t="s">
        <v>280</v>
      </c>
    </row>
    <row r="2431" spans="1:3" ht="15" x14ac:dyDescent="0.25">
      <c r="A2431" s="3" t="s">
        <v>610</v>
      </c>
      <c r="B2431" s="3" t="s">
        <v>682</v>
      </c>
      <c r="C2431" s="3" t="s">
        <v>280</v>
      </c>
    </row>
    <row r="2432" spans="1:3" ht="15" x14ac:dyDescent="0.25">
      <c r="A2432" s="3" t="s">
        <v>611</v>
      </c>
      <c r="B2432" s="3" t="s">
        <v>682</v>
      </c>
      <c r="C2432" s="3" t="s">
        <v>280</v>
      </c>
    </row>
    <row r="2433" spans="1:3" ht="15" x14ac:dyDescent="0.25">
      <c r="A2433" s="3" t="s">
        <v>149</v>
      </c>
      <c r="B2433" s="3" t="s">
        <v>682</v>
      </c>
      <c r="C2433" s="3" t="s">
        <v>280</v>
      </c>
    </row>
    <row r="2434" spans="1:3" ht="15" x14ac:dyDescent="0.25">
      <c r="A2434" s="3" t="s">
        <v>317</v>
      </c>
      <c r="B2434" s="3" t="s">
        <v>682</v>
      </c>
      <c r="C2434" s="3" t="s">
        <v>280</v>
      </c>
    </row>
    <row r="2435" spans="1:3" ht="15" x14ac:dyDescent="0.25">
      <c r="A2435" s="3" t="s">
        <v>398</v>
      </c>
      <c r="B2435" s="3" t="s">
        <v>682</v>
      </c>
      <c r="C2435" s="3" t="s">
        <v>280</v>
      </c>
    </row>
    <row r="2436" spans="1:3" ht="15" x14ac:dyDescent="0.25">
      <c r="A2436" s="3" t="s">
        <v>419</v>
      </c>
      <c r="B2436" s="3" t="s">
        <v>682</v>
      </c>
      <c r="C2436" s="3" t="s">
        <v>280</v>
      </c>
    </row>
    <row r="2437" spans="1:3" ht="15" x14ac:dyDescent="0.25">
      <c r="A2437" s="3" t="s">
        <v>180</v>
      </c>
      <c r="B2437" s="3" t="s">
        <v>682</v>
      </c>
      <c r="C2437" s="3" t="s">
        <v>280</v>
      </c>
    </row>
    <row r="2438" spans="1:3" ht="15" x14ac:dyDescent="0.25">
      <c r="A2438" s="3" t="s">
        <v>366</v>
      </c>
      <c r="B2438" s="3" t="s">
        <v>682</v>
      </c>
      <c r="C2438" s="3" t="s">
        <v>280</v>
      </c>
    </row>
    <row r="2439" spans="1:3" ht="15" x14ac:dyDescent="0.25">
      <c r="A2439" s="3" t="s">
        <v>341</v>
      </c>
      <c r="B2439" s="3" t="s">
        <v>682</v>
      </c>
      <c r="C2439" s="3" t="s">
        <v>280</v>
      </c>
    </row>
    <row r="2440" spans="1:3" ht="15" x14ac:dyDescent="0.25">
      <c r="A2440" s="3" t="s">
        <v>260</v>
      </c>
      <c r="B2440" s="3" t="s">
        <v>682</v>
      </c>
      <c r="C2440" s="3" t="s">
        <v>280</v>
      </c>
    </row>
    <row r="2441" spans="1:3" ht="15" x14ac:dyDescent="0.25">
      <c r="A2441" s="3" t="s">
        <v>223</v>
      </c>
      <c r="B2441" s="3" t="s">
        <v>682</v>
      </c>
      <c r="C2441" s="3" t="s">
        <v>280</v>
      </c>
    </row>
    <row r="2442" spans="1:3" ht="15" x14ac:dyDescent="0.25">
      <c r="A2442" s="3" t="s">
        <v>337</v>
      </c>
      <c r="B2442" s="3" t="s">
        <v>682</v>
      </c>
      <c r="C2442" s="3" t="s">
        <v>280</v>
      </c>
    </row>
    <row r="2443" spans="1:3" ht="15" x14ac:dyDescent="0.25">
      <c r="A2443" s="3" t="s">
        <v>257</v>
      </c>
      <c r="B2443" s="3" t="s">
        <v>682</v>
      </c>
      <c r="C2443" s="3" t="s">
        <v>280</v>
      </c>
    </row>
    <row r="2444" spans="1:3" ht="15" x14ac:dyDescent="0.25">
      <c r="A2444" s="3" t="s">
        <v>468</v>
      </c>
      <c r="B2444" s="3" t="s">
        <v>682</v>
      </c>
      <c r="C2444" s="3" t="s">
        <v>280</v>
      </c>
    </row>
    <row r="2445" spans="1:3" ht="15" x14ac:dyDescent="0.25">
      <c r="A2445" s="3" t="s">
        <v>150</v>
      </c>
      <c r="B2445" s="3" t="s">
        <v>682</v>
      </c>
      <c r="C2445" s="3" t="s">
        <v>280</v>
      </c>
    </row>
    <row r="2446" spans="1:3" ht="15" x14ac:dyDescent="0.25">
      <c r="A2446" s="3" t="s">
        <v>55</v>
      </c>
      <c r="B2446" s="3" t="s">
        <v>682</v>
      </c>
      <c r="C2446" s="3" t="s">
        <v>280</v>
      </c>
    </row>
    <row r="2447" spans="1:3" ht="15" x14ac:dyDescent="0.25">
      <c r="A2447" s="3" t="s">
        <v>318</v>
      </c>
      <c r="B2447" s="3" t="s">
        <v>682</v>
      </c>
      <c r="C2447" s="3" t="s">
        <v>280</v>
      </c>
    </row>
    <row r="2448" spans="1:3" ht="15" x14ac:dyDescent="0.25">
      <c r="A2448" s="3" t="s">
        <v>108</v>
      </c>
      <c r="B2448" s="3" t="s">
        <v>682</v>
      </c>
      <c r="C2448" s="3" t="s">
        <v>280</v>
      </c>
    </row>
    <row r="2449" spans="1:3" ht="15" x14ac:dyDescent="0.25">
      <c r="A2449" s="3" t="s">
        <v>154</v>
      </c>
      <c r="B2449" s="3" t="s">
        <v>682</v>
      </c>
      <c r="C2449" s="3" t="s">
        <v>280</v>
      </c>
    </row>
    <row r="2450" spans="1:3" ht="15" x14ac:dyDescent="0.25">
      <c r="A2450" s="3" t="s">
        <v>224</v>
      </c>
      <c r="B2450" s="3" t="s">
        <v>682</v>
      </c>
      <c r="C2450" s="3" t="s">
        <v>280</v>
      </c>
    </row>
    <row r="2451" spans="1:3" ht="15" x14ac:dyDescent="0.25">
      <c r="A2451" s="3" t="s">
        <v>261</v>
      </c>
      <c r="B2451" s="3" t="s">
        <v>682</v>
      </c>
      <c r="C2451" s="3" t="s">
        <v>280</v>
      </c>
    </row>
    <row r="2452" spans="1:3" ht="15" x14ac:dyDescent="0.25">
      <c r="A2452" s="3" t="s">
        <v>109</v>
      </c>
      <c r="B2452" s="3" t="s">
        <v>682</v>
      </c>
      <c r="C2452" s="3" t="s">
        <v>280</v>
      </c>
    </row>
    <row r="2453" spans="1:3" ht="15" x14ac:dyDescent="0.25">
      <c r="A2453" s="3" t="s">
        <v>320</v>
      </c>
      <c r="B2453" s="3" t="s">
        <v>682</v>
      </c>
      <c r="C2453" s="3" t="s">
        <v>280</v>
      </c>
    </row>
    <row r="2454" spans="1:3" ht="15" x14ac:dyDescent="0.25">
      <c r="A2454" s="3" t="s">
        <v>353</v>
      </c>
      <c r="B2454" s="3" t="s">
        <v>682</v>
      </c>
      <c r="C2454" s="3" t="s">
        <v>280</v>
      </c>
    </row>
    <row r="2455" spans="1:3" ht="15" x14ac:dyDescent="0.25">
      <c r="A2455" s="3" t="s">
        <v>632</v>
      </c>
      <c r="B2455" s="3" t="s">
        <v>682</v>
      </c>
      <c r="C2455" s="3" t="s">
        <v>280</v>
      </c>
    </row>
    <row r="2456" spans="1:3" ht="15" x14ac:dyDescent="0.25">
      <c r="A2456" s="3" t="s">
        <v>111</v>
      </c>
      <c r="B2456" s="3" t="s">
        <v>682</v>
      </c>
      <c r="C2456" s="3" t="s">
        <v>280</v>
      </c>
    </row>
    <row r="2457" spans="1:3" ht="15" x14ac:dyDescent="0.25">
      <c r="A2457" s="3" t="s">
        <v>390</v>
      </c>
      <c r="B2457" s="3" t="s">
        <v>682</v>
      </c>
      <c r="C2457" s="3" t="s">
        <v>280</v>
      </c>
    </row>
    <row r="2458" spans="1:3" ht="15" x14ac:dyDescent="0.25">
      <c r="A2458" s="3" t="s">
        <v>232</v>
      </c>
      <c r="B2458" s="3" t="s">
        <v>682</v>
      </c>
      <c r="C2458" s="3" t="s">
        <v>280</v>
      </c>
    </row>
    <row r="2459" spans="1:3" ht="15" x14ac:dyDescent="0.25">
      <c r="A2459" s="3" t="s">
        <v>501</v>
      </c>
      <c r="B2459" s="3" t="s">
        <v>682</v>
      </c>
      <c r="C2459" s="3" t="s">
        <v>280</v>
      </c>
    </row>
    <row r="2460" spans="1:3" ht="15" x14ac:dyDescent="0.25">
      <c r="A2460" s="3" t="s">
        <v>64</v>
      </c>
      <c r="B2460" s="3" t="s">
        <v>682</v>
      </c>
      <c r="C2460" s="3" t="s">
        <v>280</v>
      </c>
    </row>
    <row r="2461" spans="1:3" ht="15" x14ac:dyDescent="0.25">
      <c r="A2461" s="3" t="s">
        <v>321</v>
      </c>
      <c r="B2461" s="3" t="s">
        <v>682</v>
      </c>
      <c r="C2461" s="3" t="s">
        <v>280</v>
      </c>
    </row>
    <row r="2462" spans="1:3" ht="15" x14ac:dyDescent="0.25">
      <c r="A2462" s="3" t="s">
        <v>201</v>
      </c>
      <c r="B2462" s="3" t="s">
        <v>682</v>
      </c>
      <c r="C2462" s="3" t="s">
        <v>280</v>
      </c>
    </row>
    <row r="2463" spans="1:3" ht="15" x14ac:dyDescent="0.25">
      <c r="A2463" s="3" t="s">
        <v>323</v>
      </c>
      <c r="B2463" s="3" t="s">
        <v>682</v>
      </c>
      <c r="C2463" s="3" t="s">
        <v>280</v>
      </c>
    </row>
    <row r="2464" spans="1:3" ht="15" x14ac:dyDescent="0.25">
      <c r="A2464" s="3" t="s">
        <v>527</v>
      </c>
      <c r="B2464" s="3" t="s">
        <v>682</v>
      </c>
      <c r="C2464" s="3" t="s">
        <v>280</v>
      </c>
    </row>
    <row r="2465" spans="1:3" ht="15" x14ac:dyDescent="0.25">
      <c r="A2465" s="3" t="s">
        <v>265</v>
      </c>
      <c r="B2465" s="3" t="s">
        <v>682</v>
      </c>
      <c r="C2465" s="3" t="s">
        <v>280</v>
      </c>
    </row>
    <row r="2466" spans="1:3" ht="15" x14ac:dyDescent="0.25">
      <c r="A2466" s="3" t="s">
        <v>225</v>
      </c>
      <c r="B2466" s="3" t="s">
        <v>682</v>
      </c>
      <c r="C2466" s="3" t="s">
        <v>280</v>
      </c>
    </row>
    <row r="2467" spans="1:3" ht="15" x14ac:dyDescent="0.25">
      <c r="A2467" s="3" t="s">
        <v>158</v>
      </c>
      <c r="B2467" s="3" t="s">
        <v>682</v>
      </c>
      <c r="C2467" s="3" t="s">
        <v>280</v>
      </c>
    </row>
    <row r="2468" spans="1:3" ht="15" x14ac:dyDescent="0.25">
      <c r="A2468" s="3" t="s">
        <v>226</v>
      </c>
      <c r="B2468" s="3" t="s">
        <v>682</v>
      </c>
      <c r="C2468" s="3" t="s">
        <v>280</v>
      </c>
    </row>
    <row r="2469" spans="1:3" ht="15" x14ac:dyDescent="0.25">
      <c r="A2469" s="3" t="s">
        <v>266</v>
      </c>
      <c r="B2469" s="3" t="s">
        <v>682</v>
      </c>
      <c r="C2469" s="3" t="s">
        <v>280</v>
      </c>
    </row>
    <row r="2470" spans="1:3" ht="15" x14ac:dyDescent="0.25">
      <c r="A2470" s="3" t="s">
        <v>268</v>
      </c>
      <c r="B2470" s="3" t="s">
        <v>682</v>
      </c>
      <c r="C2470" s="3" t="s">
        <v>280</v>
      </c>
    </row>
    <row r="2471" spans="1:3" ht="15" x14ac:dyDescent="0.25">
      <c r="A2471" s="3" t="s">
        <v>78</v>
      </c>
      <c r="B2471" s="3" t="s">
        <v>682</v>
      </c>
      <c r="C2471" s="3" t="s">
        <v>280</v>
      </c>
    </row>
    <row r="2472" spans="1:3" ht="15" x14ac:dyDescent="0.25">
      <c r="A2472" s="3" t="s">
        <v>529</v>
      </c>
      <c r="B2472" s="3" t="s">
        <v>682</v>
      </c>
      <c r="C2472" s="3" t="s">
        <v>280</v>
      </c>
    </row>
    <row r="2473" spans="1:3" ht="15" x14ac:dyDescent="0.25">
      <c r="A2473" s="3" t="s">
        <v>391</v>
      </c>
      <c r="B2473" s="3" t="s">
        <v>682</v>
      </c>
      <c r="C2473" s="3" t="s">
        <v>280</v>
      </c>
    </row>
    <row r="2474" spans="1:3" ht="15" x14ac:dyDescent="0.25">
      <c r="A2474" s="3" t="s">
        <v>344</v>
      </c>
      <c r="B2474" s="3" t="s">
        <v>682</v>
      </c>
      <c r="C2474" s="3" t="s">
        <v>280</v>
      </c>
    </row>
    <row r="2475" spans="1:3" ht="15" x14ac:dyDescent="0.25">
      <c r="A2475" s="3" t="s">
        <v>83</v>
      </c>
      <c r="B2475" s="3" t="s">
        <v>682</v>
      </c>
      <c r="C2475" s="3" t="s">
        <v>280</v>
      </c>
    </row>
    <row r="2476" spans="1:3" ht="15" x14ac:dyDescent="0.25">
      <c r="A2476" s="3" t="s">
        <v>84</v>
      </c>
      <c r="B2476" s="3" t="s">
        <v>682</v>
      </c>
      <c r="C2476" s="3" t="s">
        <v>280</v>
      </c>
    </row>
    <row r="2477" spans="1:3" ht="15" x14ac:dyDescent="0.25">
      <c r="A2477" s="3" t="s">
        <v>85</v>
      </c>
      <c r="B2477" s="3" t="s">
        <v>682</v>
      </c>
      <c r="C2477" s="3" t="s">
        <v>280</v>
      </c>
    </row>
    <row r="2478" spans="1:3" ht="15" x14ac:dyDescent="0.25">
      <c r="A2478" s="3" t="s">
        <v>86</v>
      </c>
      <c r="B2478" s="3" t="s">
        <v>682</v>
      </c>
      <c r="C2478" s="3" t="s">
        <v>280</v>
      </c>
    </row>
    <row r="2479" spans="1:3" ht="15" x14ac:dyDescent="0.25">
      <c r="A2479" s="3" t="s">
        <v>87</v>
      </c>
      <c r="B2479" s="3" t="s">
        <v>682</v>
      </c>
      <c r="C2479" s="3" t="s">
        <v>280</v>
      </c>
    </row>
    <row r="2480" spans="1:3" ht="15" x14ac:dyDescent="0.25">
      <c r="A2480" s="3" t="s">
        <v>88</v>
      </c>
      <c r="B2480" s="3" t="s">
        <v>682</v>
      </c>
      <c r="C2480" s="3" t="s">
        <v>280</v>
      </c>
    </row>
    <row r="2481" spans="1:3" ht="15" x14ac:dyDescent="0.25">
      <c r="A2481" s="3" t="s">
        <v>89</v>
      </c>
      <c r="B2481" s="3" t="s">
        <v>682</v>
      </c>
      <c r="C2481" s="3" t="s">
        <v>280</v>
      </c>
    </row>
    <row r="2482" spans="1:3" ht="15" x14ac:dyDescent="0.25">
      <c r="A2482" s="3" t="s">
        <v>90</v>
      </c>
      <c r="B2482" s="3" t="s">
        <v>682</v>
      </c>
      <c r="C2482" s="3" t="s">
        <v>280</v>
      </c>
    </row>
    <row r="2483" spans="1:3" ht="15" x14ac:dyDescent="0.25">
      <c r="A2483" s="3" t="s">
        <v>91</v>
      </c>
      <c r="B2483" s="3" t="s">
        <v>682</v>
      </c>
      <c r="C2483" s="3" t="s">
        <v>280</v>
      </c>
    </row>
    <row r="2484" spans="1:3" ht="15" x14ac:dyDescent="0.25">
      <c r="A2484" s="3" t="s">
        <v>160</v>
      </c>
      <c r="B2484" s="3" t="s">
        <v>682</v>
      </c>
      <c r="C2484" s="3" t="s">
        <v>280</v>
      </c>
    </row>
    <row r="2485" spans="1:3" ht="15" x14ac:dyDescent="0.25">
      <c r="A2485" s="3" t="s">
        <v>92</v>
      </c>
      <c r="B2485" s="3" t="s">
        <v>682</v>
      </c>
      <c r="C2485" s="3" t="s">
        <v>280</v>
      </c>
    </row>
    <row r="2486" spans="1:3" ht="15" x14ac:dyDescent="0.25">
      <c r="A2486" s="3" t="s">
        <v>94</v>
      </c>
      <c r="B2486" s="3" t="s">
        <v>682</v>
      </c>
      <c r="C2486" s="3" t="s">
        <v>280</v>
      </c>
    </row>
    <row r="2487" spans="1:3" ht="15" x14ac:dyDescent="0.25">
      <c r="A2487" s="3" t="s">
        <v>534</v>
      </c>
      <c r="B2487" s="3" t="s">
        <v>682</v>
      </c>
      <c r="C2487" s="3" t="s">
        <v>280</v>
      </c>
    </row>
    <row r="2488" spans="1:3" ht="15" x14ac:dyDescent="0.25">
      <c r="A2488" s="3" t="s">
        <v>269</v>
      </c>
      <c r="B2488" s="3" t="s">
        <v>682</v>
      </c>
      <c r="C2488" s="3" t="s">
        <v>280</v>
      </c>
    </row>
    <row r="2489" spans="1:3" ht="15" x14ac:dyDescent="0.25">
      <c r="A2489" s="3" t="s">
        <v>161</v>
      </c>
      <c r="B2489" s="3" t="s">
        <v>682</v>
      </c>
      <c r="C2489" s="3" t="s">
        <v>280</v>
      </c>
    </row>
    <row r="2490" spans="1:3" ht="15" x14ac:dyDescent="0.25">
      <c r="A2490" s="3" t="s">
        <v>326</v>
      </c>
      <c r="B2490" s="3" t="s">
        <v>682</v>
      </c>
      <c r="C2490" s="3" t="s">
        <v>280</v>
      </c>
    </row>
    <row r="2491" spans="1:3" ht="15" x14ac:dyDescent="0.25">
      <c r="A2491" s="3" t="s">
        <v>271</v>
      </c>
      <c r="B2491" s="3" t="s">
        <v>682</v>
      </c>
      <c r="C2491" s="3" t="s">
        <v>280</v>
      </c>
    </row>
    <row r="2492" spans="1:3" ht="15" x14ac:dyDescent="0.25">
      <c r="A2492" s="3" t="s">
        <v>539</v>
      </c>
      <c r="B2492" s="3" t="s">
        <v>682</v>
      </c>
      <c r="C2492" s="3" t="s">
        <v>280</v>
      </c>
    </row>
    <row r="2493" spans="1:3" ht="15" x14ac:dyDescent="0.25">
      <c r="A2493" s="3" t="s">
        <v>97</v>
      </c>
      <c r="B2493" s="3" t="s">
        <v>682</v>
      </c>
      <c r="C2493" s="3" t="s">
        <v>280</v>
      </c>
    </row>
    <row r="2494" spans="1:3" ht="15" x14ac:dyDescent="0.25">
      <c r="A2494" s="3" t="s">
        <v>328</v>
      </c>
      <c r="B2494" s="3" t="s">
        <v>682</v>
      </c>
      <c r="C2494" s="3" t="s">
        <v>280</v>
      </c>
    </row>
    <row r="2495" spans="1:3" ht="15" x14ac:dyDescent="0.25">
      <c r="A2495" s="3" t="s">
        <v>163</v>
      </c>
      <c r="B2495" s="3" t="s">
        <v>682</v>
      </c>
      <c r="C2495" s="3" t="s">
        <v>280</v>
      </c>
    </row>
    <row r="2496" spans="1:3" ht="15" x14ac:dyDescent="0.25">
      <c r="A2496" s="3" t="s">
        <v>330</v>
      </c>
      <c r="B2496" s="3" t="s">
        <v>682</v>
      </c>
      <c r="C2496" s="3" t="s">
        <v>280</v>
      </c>
    </row>
    <row r="2497" spans="1:3" ht="15" x14ac:dyDescent="0.25">
      <c r="A2497" s="3" t="s">
        <v>277</v>
      </c>
      <c r="B2497" s="3" t="s">
        <v>682</v>
      </c>
      <c r="C2497" s="3" t="s">
        <v>280</v>
      </c>
    </row>
    <row r="2498" spans="1:3" ht="15" x14ac:dyDescent="0.25">
      <c r="A2498" s="3" t="s">
        <v>595</v>
      </c>
      <c r="B2498" s="3" t="s">
        <v>682</v>
      </c>
      <c r="C2498" s="3" t="s">
        <v>280</v>
      </c>
    </row>
    <row r="2499" spans="1:3" ht="15" x14ac:dyDescent="0.25">
      <c r="A2499" s="3" t="s">
        <v>230</v>
      </c>
      <c r="B2499" s="3" t="s">
        <v>682</v>
      </c>
      <c r="C2499" s="3" t="s">
        <v>280</v>
      </c>
    </row>
    <row r="2500" spans="1:3" ht="15" x14ac:dyDescent="0.25">
      <c r="A2500" s="3" t="s">
        <v>333</v>
      </c>
      <c r="B2500" s="3" t="s">
        <v>682</v>
      </c>
      <c r="C2500" s="3" t="s">
        <v>280</v>
      </c>
    </row>
    <row r="2501" spans="1:3" ht="15" x14ac:dyDescent="0.25">
      <c r="A2501" s="3" t="s">
        <v>370</v>
      </c>
      <c r="B2501" s="3" t="s">
        <v>682</v>
      </c>
      <c r="C2501" s="3" t="s">
        <v>280</v>
      </c>
    </row>
    <row r="2502" spans="1:3" ht="15" x14ac:dyDescent="0.25">
      <c r="A2502" s="3" t="s">
        <v>530</v>
      </c>
      <c r="B2502" s="3" t="s">
        <v>682</v>
      </c>
      <c r="C2502" s="3" t="s">
        <v>280</v>
      </c>
    </row>
    <row r="2503" spans="1:3" ht="15" x14ac:dyDescent="0.25">
      <c r="A2503" s="3" t="s">
        <v>120</v>
      </c>
      <c r="B2503" s="3" t="s">
        <v>682</v>
      </c>
      <c r="C2503" s="3" t="s">
        <v>280</v>
      </c>
    </row>
    <row r="2504" spans="1:3" ht="15" x14ac:dyDescent="0.25">
      <c r="A2504" s="3" t="s">
        <v>334</v>
      </c>
      <c r="B2504" s="3" t="s">
        <v>682</v>
      </c>
      <c r="C2504" s="3" t="s">
        <v>280</v>
      </c>
    </row>
    <row r="2505" spans="1:3" ht="15" x14ac:dyDescent="0.25">
      <c r="A2505" s="3" t="s">
        <v>231</v>
      </c>
      <c r="B2505" s="3" t="s">
        <v>682</v>
      </c>
      <c r="C2505" s="3" t="s">
        <v>280</v>
      </c>
    </row>
    <row r="2506" spans="1:3" ht="15" x14ac:dyDescent="0.25">
      <c r="A2506" s="3" t="s">
        <v>181</v>
      </c>
      <c r="B2506" s="3" t="s">
        <v>682</v>
      </c>
      <c r="C2506" s="3" t="s">
        <v>280</v>
      </c>
    </row>
    <row r="2507" spans="1:3" ht="15" x14ac:dyDescent="0.25">
      <c r="A2507" s="3" t="s">
        <v>204</v>
      </c>
      <c r="B2507" s="3" t="s">
        <v>682</v>
      </c>
      <c r="C2507" s="3" t="s">
        <v>280</v>
      </c>
    </row>
    <row r="2508" spans="1:3" ht="15" x14ac:dyDescent="0.25">
      <c r="A2508" s="3" t="s">
        <v>145</v>
      </c>
      <c r="B2508" s="3" t="s">
        <v>682</v>
      </c>
      <c r="C2508" s="3" t="s">
        <v>280</v>
      </c>
    </row>
    <row r="2509" spans="1:3" ht="15" x14ac:dyDescent="0.25">
      <c r="A2509" s="3" t="s">
        <v>102</v>
      </c>
      <c r="B2509" s="3" t="s">
        <v>682</v>
      </c>
      <c r="C2509" s="3" t="s">
        <v>280</v>
      </c>
    </row>
    <row r="2510" spans="1:3" ht="15" x14ac:dyDescent="0.25">
      <c r="A2510" s="3" t="s">
        <v>346</v>
      </c>
      <c r="B2510" s="3" t="s">
        <v>682</v>
      </c>
      <c r="C2510" s="3" t="s">
        <v>280</v>
      </c>
    </row>
    <row r="2511" spans="1:3" ht="15" x14ac:dyDescent="0.25">
      <c r="A2511" s="3" t="s">
        <v>182</v>
      </c>
      <c r="B2511" s="3" t="s">
        <v>682</v>
      </c>
      <c r="C2511" s="3" t="s">
        <v>280</v>
      </c>
    </row>
    <row r="2512" spans="1:3" ht="15" x14ac:dyDescent="0.25">
      <c r="A2512" s="3" t="s">
        <v>278</v>
      </c>
      <c r="B2512" s="3" t="s">
        <v>682</v>
      </c>
      <c r="C2512" s="3" t="s">
        <v>280</v>
      </c>
    </row>
    <row r="2513" spans="1:3" ht="15" x14ac:dyDescent="0.25">
      <c r="A2513" s="3" t="s">
        <v>207</v>
      </c>
      <c r="B2513" s="3" t="s">
        <v>679</v>
      </c>
      <c r="C2513" s="3" t="s">
        <v>280</v>
      </c>
    </row>
    <row r="2514" spans="1:3" ht="15" x14ac:dyDescent="0.25">
      <c r="A2514" s="3" t="s">
        <v>236</v>
      </c>
      <c r="B2514" s="3" t="s">
        <v>679</v>
      </c>
      <c r="C2514" s="3" t="s">
        <v>280</v>
      </c>
    </row>
    <row r="2515" spans="1:3" ht="15" x14ac:dyDescent="0.25">
      <c r="A2515" s="3" t="s">
        <v>210</v>
      </c>
      <c r="B2515" s="3" t="s">
        <v>679</v>
      </c>
      <c r="C2515" s="3" t="s">
        <v>280</v>
      </c>
    </row>
    <row r="2516" spans="1:3" ht="15" x14ac:dyDescent="0.25">
      <c r="A2516" s="3" t="s">
        <v>388</v>
      </c>
      <c r="B2516" s="3" t="s">
        <v>679</v>
      </c>
      <c r="C2516" s="3" t="s">
        <v>280</v>
      </c>
    </row>
    <row r="2517" spans="1:3" ht="15" x14ac:dyDescent="0.25">
      <c r="A2517" s="3" t="s">
        <v>239</v>
      </c>
      <c r="B2517" s="3" t="s">
        <v>679</v>
      </c>
      <c r="C2517" s="3" t="s">
        <v>280</v>
      </c>
    </row>
    <row r="2518" spans="1:3" ht="15" x14ac:dyDescent="0.25">
      <c r="A2518" s="3" t="s">
        <v>20</v>
      </c>
      <c r="B2518" s="3" t="s">
        <v>679</v>
      </c>
      <c r="C2518" s="3" t="s">
        <v>280</v>
      </c>
    </row>
    <row r="2519" spans="1:3" ht="15" x14ac:dyDescent="0.25">
      <c r="A2519" s="3" t="s">
        <v>389</v>
      </c>
      <c r="B2519" s="3" t="s">
        <v>679</v>
      </c>
      <c r="C2519" s="3" t="s">
        <v>280</v>
      </c>
    </row>
    <row r="2520" spans="1:3" ht="15" x14ac:dyDescent="0.25">
      <c r="A2520" s="3" t="s">
        <v>244</v>
      </c>
      <c r="B2520" s="3" t="s">
        <v>679</v>
      </c>
      <c r="C2520" s="3" t="s">
        <v>280</v>
      </c>
    </row>
    <row r="2521" spans="1:3" ht="15" x14ac:dyDescent="0.25">
      <c r="A2521" s="3" t="s">
        <v>302</v>
      </c>
      <c r="B2521" s="3" t="s">
        <v>679</v>
      </c>
      <c r="C2521" s="3" t="s">
        <v>280</v>
      </c>
    </row>
    <row r="2522" spans="1:3" ht="15" x14ac:dyDescent="0.25">
      <c r="A2522" s="3" t="s">
        <v>250</v>
      </c>
      <c r="B2522" s="3" t="s">
        <v>679</v>
      </c>
      <c r="C2522" s="3" t="s">
        <v>280</v>
      </c>
    </row>
    <row r="2523" spans="1:3" ht="15" x14ac:dyDescent="0.25">
      <c r="A2523" s="3" t="s">
        <v>251</v>
      </c>
      <c r="B2523" s="3" t="s">
        <v>679</v>
      </c>
      <c r="C2523" s="3" t="s">
        <v>280</v>
      </c>
    </row>
    <row r="2524" spans="1:3" ht="15" x14ac:dyDescent="0.25">
      <c r="A2524" s="3" t="s">
        <v>451</v>
      </c>
      <c r="B2524" s="3" t="s">
        <v>679</v>
      </c>
      <c r="C2524" s="3" t="s">
        <v>280</v>
      </c>
    </row>
    <row r="2525" spans="1:3" ht="15" x14ac:dyDescent="0.25">
      <c r="A2525" s="3" t="s">
        <v>362</v>
      </c>
      <c r="B2525" s="3" t="s">
        <v>679</v>
      </c>
      <c r="C2525" s="3" t="s">
        <v>280</v>
      </c>
    </row>
    <row r="2526" spans="1:3" ht="15" x14ac:dyDescent="0.25">
      <c r="A2526" s="3" t="s">
        <v>305</v>
      </c>
      <c r="B2526" s="3" t="s">
        <v>679</v>
      </c>
      <c r="C2526" s="3" t="s">
        <v>280</v>
      </c>
    </row>
    <row r="2527" spans="1:3" ht="15" x14ac:dyDescent="0.25">
      <c r="A2527" s="3" t="s">
        <v>199</v>
      </c>
      <c r="B2527" s="3" t="s">
        <v>679</v>
      </c>
      <c r="C2527" s="3" t="s">
        <v>280</v>
      </c>
    </row>
    <row r="2528" spans="1:3" ht="15" x14ac:dyDescent="0.25">
      <c r="A2528" s="3" t="s">
        <v>260</v>
      </c>
      <c r="B2528" s="3" t="s">
        <v>679</v>
      </c>
      <c r="C2528" s="3" t="s">
        <v>280</v>
      </c>
    </row>
    <row r="2529" spans="1:3" ht="15" x14ac:dyDescent="0.25">
      <c r="A2529" s="3" t="s">
        <v>318</v>
      </c>
      <c r="B2529" s="3" t="s">
        <v>679</v>
      </c>
      <c r="C2529" s="3" t="s">
        <v>280</v>
      </c>
    </row>
    <row r="2530" spans="1:3" ht="15" x14ac:dyDescent="0.25">
      <c r="A2530" s="3" t="s">
        <v>224</v>
      </c>
      <c r="B2530" s="3" t="s">
        <v>679</v>
      </c>
      <c r="C2530" s="3" t="s">
        <v>280</v>
      </c>
    </row>
    <row r="2531" spans="1:3" ht="15" x14ac:dyDescent="0.25">
      <c r="A2531" s="3" t="s">
        <v>59</v>
      </c>
      <c r="B2531" s="3" t="s">
        <v>679</v>
      </c>
      <c r="C2531" s="3" t="s">
        <v>280</v>
      </c>
    </row>
    <row r="2532" spans="1:3" ht="15" x14ac:dyDescent="0.25">
      <c r="A2532" s="3" t="s">
        <v>400</v>
      </c>
      <c r="B2532" s="3" t="s">
        <v>679</v>
      </c>
      <c r="C2532" s="3" t="s">
        <v>280</v>
      </c>
    </row>
    <row r="2533" spans="1:3" ht="15" x14ac:dyDescent="0.25">
      <c r="A2533" s="3" t="s">
        <v>245</v>
      </c>
      <c r="B2533" s="3" t="s">
        <v>677</v>
      </c>
      <c r="C2533" s="3" t="s">
        <v>280</v>
      </c>
    </row>
    <row r="2534" spans="1:3" ht="15" x14ac:dyDescent="0.25">
      <c r="A2534" s="3" t="s">
        <v>183</v>
      </c>
      <c r="B2534" s="3" t="s">
        <v>673</v>
      </c>
      <c r="C2534" s="3" t="s">
        <v>280</v>
      </c>
    </row>
    <row r="2535" spans="1:3" ht="15" x14ac:dyDescent="0.25">
      <c r="A2535" s="3" t="s">
        <v>103</v>
      </c>
      <c r="B2535" s="3" t="s">
        <v>673</v>
      </c>
      <c r="C2535" s="3" t="s">
        <v>280</v>
      </c>
    </row>
    <row r="2536" spans="1:3" ht="15" x14ac:dyDescent="0.25">
      <c r="A2536" s="3" t="s">
        <v>532</v>
      </c>
      <c r="B2536" s="3" t="s">
        <v>673</v>
      </c>
      <c r="C2536" s="3" t="s">
        <v>280</v>
      </c>
    </row>
    <row r="2537" spans="1:3" ht="15" x14ac:dyDescent="0.25">
      <c r="A2537" s="3" t="s">
        <v>621</v>
      </c>
      <c r="B2537" s="3" t="s">
        <v>673</v>
      </c>
      <c r="C2537" s="3" t="s">
        <v>280</v>
      </c>
    </row>
    <row r="2538" spans="1:3" ht="15" x14ac:dyDescent="0.25">
      <c r="A2538" s="3" t="s">
        <v>218</v>
      </c>
      <c r="B2538" s="3" t="s">
        <v>673</v>
      </c>
      <c r="C2538" s="3" t="s">
        <v>280</v>
      </c>
    </row>
    <row r="2539" spans="1:3" ht="15" x14ac:dyDescent="0.25">
      <c r="A2539" s="3" t="s">
        <v>172</v>
      </c>
      <c r="B2539" s="3" t="s">
        <v>673</v>
      </c>
      <c r="C2539" s="3" t="s">
        <v>280</v>
      </c>
    </row>
    <row r="2540" spans="1:3" ht="15" x14ac:dyDescent="0.25">
      <c r="A2540" s="3" t="s">
        <v>141</v>
      </c>
      <c r="B2540" s="3" t="s">
        <v>673</v>
      </c>
      <c r="C2540" s="3" t="s">
        <v>280</v>
      </c>
    </row>
    <row r="2541" spans="1:3" ht="15" x14ac:dyDescent="0.25">
      <c r="A2541" s="3" t="s">
        <v>199</v>
      </c>
      <c r="B2541" s="3" t="s">
        <v>673</v>
      </c>
      <c r="C2541" s="3" t="s">
        <v>280</v>
      </c>
    </row>
    <row r="2542" spans="1:3" ht="15" x14ac:dyDescent="0.25">
      <c r="A2542" s="3" t="s">
        <v>174</v>
      </c>
      <c r="B2542" s="3" t="s">
        <v>673</v>
      </c>
      <c r="C2542" s="3" t="s">
        <v>280</v>
      </c>
    </row>
    <row r="2543" spans="1:3" ht="15" x14ac:dyDescent="0.25">
      <c r="A2543" s="3" t="s">
        <v>521</v>
      </c>
      <c r="B2543" s="3" t="s">
        <v>673</v>
      </c>
      <c r="C2543" s="3" t="s">
        <v>280</v>
      </c>
    </row>
    <row r="2544" spans="1:3" ht="15" x14ac:dyDescent="0.25">
      <c r="A2544" s="3" t="s">
        <v>259</v>
      </c>
      <c r="B2544" s="3" t="s">
        <v>673</v>
      </c>
      <c r="C2544" s="3" t="s">
        <v>280</v>
      </c>
    </row>
    <row r="2545" spans="1:3" ht="15" x14ac:dyDescent="0.25">
      <c r="A2545" s="3" t="s">
        <v>263</v>
      </c>
      <c r="B2545" s="3" t="s">
        <v>673</v>
      </c>
      <c r="C2545" s="3" t="s">
        <v>280</v>
      </c>
    </row>
    <row r="2546" spans="1:3" ht="15" x14ac:dyDescent="0.25">
      <c r="A2546" s="3" t="s">
        <v>400</v>
      </c>
      <c r="B2546" s="3" t="s">
        <v>673</v>
      </c>
      <c r="C2546" s="3" t="s">
        <v>280</v>
      </c>
    </row>
    <row r="2547" spans="1:3" ht="15" x14ac:dyDescent="0.25">
      <c r="A2547" s="3" t="s">
        <v>202</v>
      </c>
      <c r="B2547" s="3" t="s">
        <v>673</v>
      </c>
      <c r="C2547" s="3" t="s">
        <v>280</v>
      </c>
    </row>
    <row r="2548" spans="1:3" ht="15" x14ac:dyDescent="0.25">
      <c r="A2548" s="3" t="s">
        <v>118</v>
      </c>
      <c r="B2548" s="3" t="s">
        <v>673</v>
      </c>
      <c r="C2548" s="3" t="s">
        <v>280</v>
      </c>
    </row>
    <row r="2549" spans="1:3" ht="15" x14ac:dyDescent="0.25">
      <c r="A2549" s="3" t="s">
        <v>384</v>
      </c>
      <c r="B2549" s="3" t="s">
        <v>673</v>
      </c>
      <c r="C2549" s="3" t="s">
        <v>280</v>
      </c>
    </row>
    <row r="2550" spans="1:3" ht="15" x14ac:dyDescent="0.25">
      <c r="A2550" s="3" t="s">
        <v>207</v>
      </c>
      <c r="B2550" s="3" t="s">
        <v>694</v>
      </c>
      <c r="C2550" s="3" t="s">
        <v>692</v>
      </c>
    </row>
    <row r="2551" spans="1:3" ht="15" x14ac:dyDescent="0.25">
      <c r="A2551" s="3" t="s">
        <v>124</v>
      </c>
      <c r="B2551" s="3" t="s">
        <v>694</v>
      </c>
      <c r="C2551" s="3" t="s">
        <v>692</v>
      </c>
    </row>
    <row r="2552" spans="1:3" ht="15" x14ac:dyDescent="0.25">
      <c r="A2552" s="3" t="s">
        <v>10</v>
      </c>
      <c r="B2552" s="3" t="s">
        <v>694</v>
      </c>
      <c r="C2552" s="3" t="s">
        <v>692</v>
      </c>
    </row>
    <row r="2553" spans="1:3" ht="15" x14ac:dyDescent="0.25">
      <c r="A2553" s="3" t="s">
        <v>186</v>
      </c>
      <c r="B2553" s="3" t="s">
        <v>694</v>
      </c>
      <c r="C2553" s="3" t="s">
        <v>692</v>
      </c>
    </row>
    <row r="2554" spans="1:3" ht="15" x14ac:dyDescent="0.25">
      <c r="A2554" s="3" t="s">
        <v>646</v>
      </c>
      <c r="B2554" s="3" t="s">
        <v>694</v>
      </c>
      <c r="C2554" s="3" t="s">
        <v>692</v>
      </c>
    </row>
    <row r="2555" spans="1:3" ht="15" x14ac:dyDescent="0.25">
      <c r="A2555" s="3" t="s">
        <v>671</v>
      </c>
      <c r="B2555" s="3" t="s">
        <v>694</v>
      </c>
      <c r="C2555" s="3" t="s">
        <v>692</v>
      </c>
    </row>
    <row r="2556" spans="1:3" ht="15" x14ac:dyDescent="0.25">
      <c r="A2556" s="3" t="s">
        <v>13</v>
      </c>
      <c r="B2556" s="3" t="s">
        <v>694</v>
      </c>
      <c r="C2556" s="3" t="s">
        <v>692</v>
      </c>
    </row>
    <row r="2557" spans="1:3" ht="15" x14ac:dyDescent="0.25">
      <c r="A2557" s="3" t="s">
        <v>289</v>
      </c>
      <c r="B2557" s="3" t="s">
        <v>694</v>
      </c>
      <c r="C2557" s="3" t="s">
        <v>692</v>
      </c>
    </row>
    <row r="2558" spans="1:3" ht="15" x14ac:dyDescent="0.25">
      <c r="A2558" s="3" t="s">
        <v>14</v>
      </c>
      <c r="B2558" s="3" t="s">
        <v>694</v>
      </c>
      <c r="C2558" s="3" t="s">
        <v>692</v>
      </c>
    </row>
    <row r="2559" spans="1:3" ht="15" x14ac:dyDescent="0.25">
      <c r="A2559" s="3" t="s">
        <v>106</v>
      </c>
      <c r="B2559" s="3" t="s">
        <v>694</v>
      </c>
      <c r="C2559" s="3" t="s">
        <v>692</v>
      </c>
    </row>
    <row r="2560" spans="1:3" ht="15" x14ac:dyDescent="0.25">
      <c r="A2560" s="3" t="s">
        <v>431</v>
      </c>
      <c r="B2560" s="3" t="s">
        <v>694</v>
      </c>
      <c r="C2560" s="3" t="s">
        <v>692</v>
      </c>
    </row>
    <row r="2561" spans="1:3" ht="15" x14ac:dyDescent="0.25">
      <c r="A2561" s="3" t="s">
        <v>294</v>
      </c>
      <c r="B2561" s="3" t="s">
        <v>694</v>
      </c>
      <c r="C2561" s="3" t="s">
        <v>692</v>
      </c>
    </row>
    <row r="2562" spans="1:3" ht="15" x14ac:dyDescent="0.25">
      <c r="A2562" s="3" t="s">
        <v>295</v>
      </c>
      <c r="B2562" s="3" t="s">
        <v>694</v>
      </c>
      <c r="C2562" s="3" t="s">
        <v>692</v>
      </c>
    </row>
    <row r="2563" spans="1:3" ht="15" x14ac:dyDescent="0.25">
      <c r="A2563" s="3" t="s">
        <v>133</v>
      </c>
      <c r="B2563" s="3" t="s">
        <v>694</v>
      </c>
      <c r="C2563" s="3" t="s">
        <v>692</v>
      </c>
    </row>
    <row r="2564" spans="1:3" ht="15" x14ac:dyDescent="0.25">
      <c r="A2564" s="3" t="s">
        <v>297</v>
      </c>
      <c r="B2564" s="3" t="s">
        <v>694</v>
      </c>
      <c r="C2564" s="3" t="s">
        <v>692</v>
      </c>
    </row>
    <row r="2565" spans="1:3" ht="15" x14ac:dyDescent="0.25">
      <c r="A2565" s="3" t="s">
        <v>170</v>
      </c>
      <c r="B2565" s="3" t="s">
        <v>694</v>
      </c>
      <c r="C2565" s="3" t="s">
        <v>692</v>
      </c>
    </row>
    <row r="2566" spans="1:3" ht="15" x14ac:dyDescent="0.25">
      <c r="A2566" s="3" t="s">
        <v>216</v>
      </c>
      <c r="B2566" s="3" t="s">
        <v>694</v>
      </c>
      <c r="C2566" s="3" t="s">
        <v>692</v>
      </c>
    </row>
    <row r="2567" spans="1:3" ht="15" x14ac:dyDescent="0.25">
      <c r="A2567" s="3" t="s">
        <v>244</v>
      </c>
      <c r="B2567" s="3" t="s">
        <v>694</v>
      </c>
      <c r="C2567" s="3" t="s">
        <v>692</v>
      </c>
    </row>
    <row r="2568" spans="1:3" ht="15" x14ac:dyDescent="0.25">
      <c r="A2568" s="3" t="s">
        <v>246</v>
      </c>
      <c r="B2568" s="3" t="s">
        <v>694</v>
      </c>
      <c r="C2568" s="3" t="s">
        <v>692</v>
      </c>
    </row>
    <row r="2569" spans="1:3" ht="15" x14ac:dyDescent="0.25">
      <c r="A2569" s="3" t="s">
        <v>247</v>
      </c>
      <c r="B2569" s="3" t="s">
        <v>694</v>
      </c>
      <c r="C2569" s="3" t="s">
        <v>692</v>
      </c>
    </row>
    <row r="2570" spans="1:3" ht="15" x14ac:dyDescent="0.25">
      <c r="A2570" s="3" t="s">
        <v>643</v>
      </c>
      <c r="B2570" s="3" t="s">
        <v>694</v>
      </c>
      <c r="C2570" s="3" t="s">
        <v>692</v>
      </c>
    </row>
    <row r="2571" spans="1:3" ht="15" x14ac:dyDescent="0.25">
      <c r="A2571" s="3" t="s">
        <v>113</v>
      </c>
      <c r="B2571" s="3" t="s">
        <v>694</v>
      </c>
      <c r="C2571" s="3" t="s">
        <v>692</v>
      </c>
    </row>
    <row r="2572" spans="1:3" ht="15" x14ac:dyDescent="0.25">
      <c r="A2572" s="3" t="s">
        <v>191</v>
      </c>
      <c r="B2572" s="3" t="s">
        <v>694</v>
      </c>
      <c r="C2572" s="3" t="s">
        <v>692</v>
      </c>
    </row>
    <row r="2573" spans="1:3" ht="15" x14ac:dyDescent="0.25">
      <c r="A2573" s="3" t="s">
        <v>492</v>
      </c>
      <c r="B2573" s="3" t="s">
        <v>694</v>
      </c>
      <c r="C2573" s="3" t="s">
        <v>692</v>
      </c>
    </row>
    <row r="2574" spans="1:3" ht="15" x14ac:dyDescent="0.25">
      <c r="A2574" s="3" t="s">
        <v>564</v>
      </c>
      <c r="B2574" s="3" t="s">
        <v>694</v>
      </c>
      <c r="C2574" s="3" t="s">
        <v>692</v>
      </c>
    </row>
    <row r="2575" spans="1:3" ht="15" x14ac:dyDescent="0.25">
      <c r="A2575" s="3" t="s">
        <v>301</v>
      </c>
      <c r="B2575" s="3" t="s">
        <v>694</v>
      </c>
      <c r="C2575" s="3" t="s">
        <v>692</v>
      </c>
    </row>
    <row r="2576" spans="1:3" ht="15" x14ac:dyDescent="0.25">
      <c r="A2576" s="3" t="s">
        <v>253</v>
      </c>
      <c r="B2576" s="3" t="s">
        <v>694</v>
      </c>
      <c r="C2576" s="3" t="s">
        <v>692</v>
      </c>
    </row>
    <row r="2577" spans="1:3" ht="15" x14ac:dyDescent="0.25">
      <c r="A2577" s="3" t="s">
        <v>254</v>
      </c>
      <c r="B2577" s="3" t="s">
        <v>694</v>
      </c>
      <c r="C2577" s="3" t="s">
        <v>692</v>
      </c>
    </row>
    <row r="2578" spans="1:3" ht="15" x14ac:dyDescent="0.25">
      <c r="A2578" s="3" t="s">
        <v>304</v>
      </c>
      <c r="B2578" s="3" t="s">
        <v>694</v>
      </c>
      <c r="C2578" s="3" t="s">
        <v>692</v>
      </c>
    </row>
    <row r="2579" spans="1:3" ht="15" x14ac:dyDescent="0.25">
      <c r="A2579" s="3" t="s">
        <v>229</v>
      </c>
      <c r="B2579" s="3" t="s">
        <v>694</v>
      </c>
      <c r="C2579" s="3" t="s">
        <v>692</v>
      </c>
    </row>
    <row r="2580" spans="1:3" ht="15" x14ac:dyDescent="0.25">
      <c r="A2580" s="3" t="s">
        <v>256</v>
      </c>
      <c r="B2580" s="3" t="s">
        <v>694</v>
      </c>
      <c r="C2580" s="3" t="s">
        <v>692</v>
      </c>
    </row>
    <row r="2581" spans="1:3" ht="15" x14ac:dyDescent="0.25">
      <c r="A2581" s="3" t="s">
        <v>38</v>
      </c>
      <c r="B2581" s="3" t="s">
        <v>694</v>
      </c>
      <c r="C2581" s="3" t="s">
        <v>692</v>
      </c>
    </row>
    <row r="2582" spans="1:3" ht="15" x14ac:dyDescent="0.25">
      <c r="A2582" s="3" t="s">
        <v>43</v>
      </c>
      <c r="B2582" s="3" t="s">
        <v>694</v>
      </c>
      <c r="C2582" s="3" t="s">
        <v>692</v>
      </c>
    </row>
    <row r="2583" spans="1:3" ht="15" x14ac:dyDescent="0.25">
      <c r="A2583" s="3" t="s">
        <v>198</v>
      </c>
      <c r="B2583" s="3" t="s">
        <v>694</v>
      </c>
      <c r="C2583" s="3" t="s">
        <v>692</v>
      </c>
    </row>
    <row r="2584" spans="1:3" ht="15" x14ac:dyDescent="0.25">
      <c r="A2584" s="3" t="s">
        <v>363</v>
      </c>
      <c r="B2584" s="3" t="s">
        <v>694</v>
      </c>
      <c r="C2584" s="3" t="s">
        <v>692</v>
      </c>
    </row>
    <row r="2585" spans="1:3" ht="15" x14ac:dyDescent="0.25">
      <c r="A2585" s="3" t="s">
        <v>221</v>
      </c>
      <c r="B2585" s="3" t="s">
        <v>694</v>
      </c>
      <c r="C2585" s="3" t="s">
        <v>692</v>
      </c>
    </row>
    <row r="2586" spans="1:3" ht="15" x14ac:dyDescent="0.25">
      <c r="A2586" s="3" t="s">
        <v>316</v>
      </c>
      <c r="B2586" s="3" t="s">
        <v>694</v>
      </c>
      <c r="C2586" s="3" t="s">
        <v>692</v>
      </c>
    </row>
    <row r="2587" spans="1:3" ht="15" x14ac:dyDescent="0.25">
      <c r="A2587" s="3" t="s">
        <v>259</v>
      </c>
      <c r="B2587" s="3" t="s">
        <v>694</v>
      </c>
      <c r="C2587" s="3" t="s">
        <v>692</v>
      </c>
    </row>
    <row r="2588" spans="1:3" ht="15" x14ac:dyDescent="0.25">
      <c r="A2588" s="3" t="s">
        <v>178</v>
      </c>
      <c r="B2588" s="3" t="s">
        <v>694</v>
      </c>
      <c r="C2588" s="3" t="s">
        <v>692</v>
      </c>
    </row>
    <row r="2589" spans="1:3" ht="15" x14ac:dyDescent="0.25">
      <c r="A2589" s="3" t="s">
        <v>610</v>
      </c>
      <c r="B2589" s="3" t="s">
        <v>694</v>
      </c>
      <c r="C2589" s="3" t="s">
        <v>692</v>
      </c>
    </row>
    <row r="2590" spans="1:3" ht="15" x14ac:dyDescent="0.25">
      <c r="A2590" s="3" t="s">
        <v>611</v>
      </c>
      <c r="B2590" s="3" t="s">
        <v>694</v>
      </c>
      <c r="C2590" s="3" t="s">
        <v>692</v>
      </c>
    </row>
    <row r="2591" spans="1:3" ht="15" x14ac:dyDescent="0.25">
      <c r="A2591" s="3" t="s">
        <v>149</v>
      </c>
      <c r="B2591" s="3" t="s">
        <v>694</v>
      </c>
      <c r="C2591" s="3" t="s">
        <v>692</v>
      </c>
    </row>
    <row r="2592" spans="1:3" ht="15" x14ac:dyDescent="0.25">
      <c r="A2592" s="3" t="s">
        <v>260</v>
      </c>
      <c r="B2592" s="3" t="s">
        <v>694</v>
      </c>
      <c r="C2592" s="3" t="s">
        <v>692</v>
      </c>
    </row>
    <row r="2593" spans="1:3" ht="15" x14ac:dyDescent="0.25">
      <c r="A2593" s="3" t="s">
        <v>108</v>
      </c>
      <c r="B2593" s="3" t="s">
        <v>694</v>
      </c>
      <c r="C2593" s="3" t="s">
        <v>692</v>
      </c>
    </row>
    <row r="2594" spans="1:3" ht="15" x14ac:dyDescent="0.25">
      <c r="A2594" s="3" t="s">
        <v>632</v>
      </c>
      <c r="B2594" s="3" t="s">
        <v>694</v>
      </c>
      <c r="C2594" s="3" t="s">
        <v>692</v>
      </c>
    </row>
    <row r="2595" spans="1:3" ht="15" x14ac:dyDescent="0.25">
      <c r="A2595" s="3" t="s">
        <v>264</v>
      </c>
      <c r="B2595" s="3" t="s">
        <v>694</v>
      </c>
      <c r="C2595" s="3" t="s">
        <v>692</v>
      </c>
    </row>
    <row r="2596" spans="1:3" ht="15" x14ac:dyDescent="0.25">
      <c r="A2596" s="3" t="s">
        <v>158</v>
      </c>
      <c r="B2596" s="3" t="s">
        <v>694</v>
      </c>
      <c r="C2596" s="3" t="s">
        <v>692</v>
      </c>
    </row>
    <row r="2597" spans="1:3" ht="15" x14ac:dyDescent="0.25">
      <c r="A2597" s="3" t="s">
        <v>266</v>
      </c>
      <c r="B2597" s="3" t="s">
        <v>694</v>
      </c>
      <c r="C2597" s="3" t="s">
        <v>692</v>
      </c>
    </row>
    <row r="2598" spans="1:3" ht="15" x14ac:dyDescent="0.25">
      <c r="A2598" s="3" t="s">
        <v>78</v>
      </c>
      <c r="B2598" s="3" t="s">
        <v>694</v>
      </c>
      <c r="C2598" s="3" t="s">
        <v>692</v>
      </c>
    </row>
    <row r="2599" spans="1:3" ht="15" x14ac:dyDescent="0.25">
      <c r="A2599" s="3" t="s">
        <v>160</v>
      </c>
      <c r="B2599" s="3" t="s">
        <v>694</v>
      </c>
      <c r="C2599" s="3" t="s">
        <v>692</v>
      </c>
    </row>
    <row r="2600" spans="1:3" ht="15" x14ac:dyDescent="0.25">
      <c r="A2600" s="3" t="s">
        <v>117</v>
      </c>
      <c r="B2600" s="3" t="s">
        <v>694</v>
      </c>
      <c r="C2600" s="3" t="s">
        <v>692</v>
      </c>
    </row>
    <row r="2601" spans="1:3" ht="15" x14ac:dyDescent="0.25">
      <c r="A2601" s="3" t="s">
        <v>271</v>
      </c>
      <c r="B2601" s="3" t="s">
        <v>694</v>
      </c>
      <c r="C2601" s="3" t="s">
        <v>692</v>
      </c>
    </row>
    <row r="2602" spans="1:3" ht="15" x14ac:dyDescent="0.25">
      <c r="A2602" s="3" t="s">
        <v>272</v>
      </c>
      <c r="B2602" s="3" t="s">
        <v>694</v>
      </c>
      <c r="C2602" s="3" t="s">
        <v>692</v>
      </c>
    </row>
    <row r="2603" spans="1:3" ht="15" x14ac:dyDescent="0.25">
      <c r="A2603" s="3" t="s">
        <v>208</v>
      </c>
      <c r="B2603" s="3" t="s">
        <v>694</v>
      </c>
      <c r="C2603" s="3" t="s">
        <v>692</v>
      </c>
    </row>
    <row r="2604" spans="1:3" ht="15" x14ac:dyDescent="0.25">
      <c r="A2604" s="3" t="s">
        <v>277</v>
      </c>
      <c r="B2604" s="3" t="s">
        <v>694</v>
      </c>
      <c r="C2604" s="3" t="s">
        <v>692</v>
      </c>
    </row>
    <row r="2605" spans="1:3" ht="15" x14ac:dyDescent="0.25">
      <c r="A2605" s="3" t="s">
        <v>231</v>
      </c>
      <c r="B2605" s="3" t="s">
        <v>694</v>
      </c>
      <c r="C2605" s="3" t="s">
        <v>692</v>
      </c>
    </row>
    <row r="2606" spans="1:3" ht="15" x14ac:dyDescent="0.25">
      <c r="A2606" s="3" t="s">
        <v>276</v>
      </c>
      <c r="B2606" s="3" t="s">
        <v>694</v>
      </c>
      <c r="C2606" s="3" t="s">
        <v>692</v>
      </c>
    </row>
    <row r="2607" spans="1:3" ht="15" x14ac:dyDescent="0.25">
      <c r="A2607" s="3" t="s">
        <v>278</v>
      </c>
      <c r="B2607" s="3" t="s">
        <v>694</v>
      </c>
      <c r="C2607" s="3" t="s">
        <v>692</v>
      </c>
    </row>
    <row r="2608" spans="1:3" ht="15" x14ac:dyDescent="0.25">
      <c r="A2608" s="3" t="s">
        <v>205</v>
      </c>
      <c r="B2608" s="3" t="s">
        <v>693</v>
      </c>
      <c r="C2608" s="3" t="s">
        <v>692</v>
      </c>
    </row>
    <row r="2609" spans="1:3" ht="15" x14ac:dyDescent="0.25">
      <c r="A2609" s="3" t="s">
        <v>8</v>
      </c>
      <c r="B2609" s="3" t="s">
        <v>693</v>
      </c>
      <c r="C2609" s="3" t="s">
        <v>692</v>
      </c>
    </row>
    <row r="2610" spans="1:3" ht="15" x14ac:dyDescent="0.25">
      <c r="A2610" s="3" t="s">
        <v>237</v>
      </c>
      <c r="B2610" s="3" t="s">
        <v>693</v>
      </c>
      <c r="C2610" s="3" t="s">
        <v>692</v>
      </c>
    </row>
    <row r="2611" spans="1:3" ht="15" x14ac:dyDescent="0.25">
      <c r="A2611" s="3" t="s">
        <v>185</v>
      </c>
      <c r="B2611" s="3" t="s">
        <v>693</v>
      </c>
      <c r="C2611" s="3" t="s">
        <v>692</v>
      </c>
    </row>
    <row r="2612" spans="1:3" ht="15" x14ac:dyDescent="0.25">
      <c r="A2612" s="3" t="s">
        <v>283</v>
      </c>
      <c r="B2612" s="3" t="s">
        <v>693</v>
      </c>
      <c r="C2612" s="3" t="s">
        <v>692</v>
      </c>
    </row>
    <row r="2613" spans="1:3" ht="15" x14ac:dyDescent="0.25">
      <c r="A2613" s="3" t="s">
        <v>187</v>
      </c>
      <c r="B2613" s="3" t="s">
        <v>693</v>
      </c>
      <c r="C2613" s="3" t="s">
        <v>692</v>
      </c>
    </row>
    <row r="2614" spans="1:3" ht="15" x14ac:dyDescent="0.25">
      <c r="A2614" s="3" t="s">
        <v>258</v>
      </c>
      <c r="B2614" s="3" t="s">
        <v>693</v>
      </c>
      <c r="C2614" s="3" t="s">
        <v>692</v>
      </c>
    </row>
    <row r="2615" spans="1:3" ht="15" x14ac:dyDescent="0.25">
      <c r="A2615" s="3" t="s">
        <v>284</v>
      </c>
      <c r="B2615" s="3" t="s">
        <v>693</v>
      </c>
      <c r="C2615" s="3" t="s">
        <v>692</v>
      </c>
    </row>
    <row r="2616" spans="1:3" ht="15" x14ac:dyDescent="0.25">
      <c r="A2616" s="3" t="s">
        <v>288</v>
      </c>
      <c r="B2616" s="3" t="s">
        <v>693</v>
      </c>
      <c r="C2616" s="3" t="s">
        <v>692</v>
      </c>
    </row>
    <row r="2617" spans="1:3" ht="15" x14ac:dyDescent="0.25">
      <c r="A2617" s="3" t="s">
        <v>374</v>
      </c>
      <c r="B2617" s="3" t="s">
        <v>693</v>
      </c>
      <c r="C2617" s="3" t="s">
        <v>692</v>
      </c>
    </row>
    <row r="2618" spans="1:3" ht="15" x14ac:dyDescent="0.25">
      <c r="A2618" s="3" t="s">
        <v>239</v>
      </c>
      <c r="B2618" s="3" t="s">
        <v>693</v>
      </c>
      <c r="C2618" s="3" t="s">
        <v>692</v>
      </c>
    </row>
    <row r="2619" spans="1:3" ht="15" x14ac:dyDescent="0.25">
      <c r="A2619" s="3" t="s">
        <v>464</v>
      </c>
      <c r="B2619" s="3" t="s">
        <v>693</v>
      </c>
      <c r="C2619" s="3" t="s">
        <v>692</v>
      </c>
    </row>
    <row r="2620" spans="1:3" ht="15" x14ac:dyDescent="0.25">
      <c r="A2620" s="3" t="s">
        <v>378</v>
      </c>
      <c r="B2620" s="3" t="s">
        <v>693</v>
      </c>
      <c r="C2620" s="3" t="s">
        <v>692</v>
      </c>
    </row>
    <row r="2621" spans="1:3" ht="15" x14ac:dyDescent="0.25">
      <c r="A2621" s="3" t="s">
        <v>338</v>
      </c>
      <c r="B2621" s="3" t="s">
        <v>693</v>
      </c>
      <c r="C2621" s="3" t="s">
        <v>692</v>
      </c>
    </row>
    <row r="2622" spans="1:3" ht="15" x14ac:dyDescent="0.25">
      <c r="A2622" s="3" t="s">
        <v>676</v>
      </c>
      <c r="B2622" s="3" t="s">
        <v>693</v>
      </c>
      <c r="C2622" s="3" t="s">
        <v>692</v>
      </c>
    </row>
    <row r="2623" spans="1:3" ht="15" x14ac:dyDescent="0.25">
      <c r="A2623" s="3" t="s">
        <v>135</v>
      </c>
      <c r="B2623" s="3" t="s">
        <v>693</v>
      </c>
      <c r="C2623" s="3" t="s">
        <v>692</v>
      </c>
    </row>
    <row r="2624" spans="1:3" ht="15" x14ac:dyDescent="0.25">
      <c r="A2624" s="3" t="s">
        <v>172</v>
      </c>
      <c r="B2624" s="3" t="s">
        <v>693</v>
      </c>
      <c r="C2624" s="3" t="s">
        <v>692</v>
      </c>
    </row>
    <row r="2625" spans="1:3" ht="15" x14ac:dyDescent="0.25">
      <c r="A2625" s="3" t="s">
        <v>244</v>
      </c>
      <c r="B2625" s="3" t="s">
        <v>693</v>
      </c>
      <c r="C2625" s="3" t="s">
        <v>692</v>
      </c>
    </row>
    <row r="2626" spans="1:3" ht="15" x14ac:dyDescent="0.25">
      <c r="A2626" s="3" t="s">
        <v>139</v>
      </c>
      <c r="B2626" s="3" t="s">
        <v>693</v>
      </c>
      <c r="C2626" s="3" t="s">
        <v>692</v>
      </c>
    </row>
    <row r="2627" spans="1:3" ht="15" x14ac:dyDescent="0.25">
      <c r="A2627" s="3" t="s">
        <v>27</v>
      </c>
      <c r="B2627" s="3" t="s">
        <v>693</v>
      </c>
      <c r="C2627" s="3" t="s">
        <v>692</v>
      </c>
    </row>
    <row r="2628" spans="1:3" ht="15" x14ac:dyDescent="0.25">
      <c r="A2628" s="3" t="s">
        <v>299</v>
      </c>
      <c r="B2628" s="3" t="s">
        <v>693</v>
      </c>
      <c r="C2628" s="3" t="s">
        <v>692</v>
      </c>
    </row>
    <row r="2629" spans="1:3" ht="15" x14ac:dyDescent="0.25">
      <c r="A2629" s="3" t="s">
        <v>249</v>
      </c>
      <c r="B2629" s="3" t="s">
        <v>693</v>
      </c>
      <c r="C2629" s="3" t="s">
        <v>692</v>
      </c>
    </row>
    <row r="2630" spans="1:3" ht="15" x14ac:dyDescent="0.25">
      <c r="A2630" s="3" t="s">
        <v>7</v>
      </c>
      <c r="B2630" s="3" t="s">
        <v>693</v>
      </c>
      <c r="C2630" s="3" t="s">
        <v>692</v>
      </c>
    </row>
    <row r="2631" spans="1:3" ht="15" x14ac:dyDescent="0.25">
      <c r="A2631" s="3" t="s">
        <v>302</v>
      </c>
      <c r="B2631" s="3" t="s">
        <v>693</v>
      </c>
      <c r="C2631" s="3" t="s">
        <v>692</v>
      </c>
    </row>
    <row r="2632" spans="1:3" ht="15" x14ac:dyDescent="0.25">
      <c r="A2632" s="3" t="s">
        <v>33</v>
      </c>
      <c r="B2632" s="3" t="s">
        <v>693</v>
      </c>
      <c r="C2632" s="3" t="s">
        <v>692</v>
      </c>
    </row>
    <row r="2633" spans="1:3" ht="15" x14ac:dyDescent="0.25">
      <c r="A2633" s="3" t="s">
        <v>251</v>
      </c>
      <c r="B2633" s="3" t="s">
        <v>693</v>
      </c>
      <c r="C2633" s="3" t="s">
        <v>692</v>
      </c>
    </row>
    <row r="2634" spans="1:3" ht="15" x14ac:dyDescent="0.25">
      <c r="A2634" s="3" t="s">
        <v>146</v>
      </c>
      <c r="B2634" s="3" t="s">
        <v>693</v>
      </c>
      <c r="C2634" s="3" t="s">
        <v>692</v>
      </c>
    </row>
    <row r="2635" spans="1:3" ht="15" x14ac:dyDescent="0.25">
      <c r="A2635" s="3" t="s">
        <v>303</v>
      </c>
      <c r="B2635" s="3" t="s">
        <v>693</v>
      </c>
      <c r="C2635" s="3" t="s">
        <v>692</v>
      </c>
    </row>
    <row r="2636" spans="1:3" ht="15" x14ac:dyDescent="0.25">
      <c r="A2636" s="3" t="s">
        <v>542</v>
      </c>
      <c r="B2636" s="3" t="s">
        <v>693</v>
      </c>
      <c r="C2636" s="3" t="s">
        <v>692</v>
      </c>
    </row>
    <row r="2637" spans="1:3" ht="15" x14ac:dyDescent="0.25">
      <c r="A2637" s="3" t="s">
        <v>128</v>
      </c>
      <c r="B2637" s="3" t="s">
        <v>693</v>
      </c>
      <c r="C2637" s="3" t="s">
        <v>692</v>
      </c>
    </row>
    <row r="2638" spans="1:3" ht="15" x14ac:dyDescent="0.25">
      <c r="A2638" s="3" t="s">
        <v>196</v>
      </c>
      <c r="B2638" s="3" t="s">
        <v>693</v>
      </c>
      <c r="C2638" s="3" t="s">
        <v>692</v>
      </c>
    </row>
    <row r="2639" spans="1:3" ht="15" x14ac:dyDescent="0.25">
      <c r="A2639" s="3" t="s">
        <v>46</v>
      </c>
      <c r="B2639" s="3" t="s">
        <v>693</v>
      </c>
      <c r="C2639" s="3" t="s">
        <v>692</v>
      </c>
    </row>
    <row r="2640" spans="1:3" ht="15" x14ac:dyDescent="0.25">
      <c r="A2640" s="3" t="s">
        <v>141</v>
      </c>
      <c r="B2640" s="3" t="s">
        <v>693</v>
      </c>
      <c r="C2640" s="3" t="s">
        <v>692</v>
      </c>
    </row>
    <row r="2641" spans="1:3" ht="15" x14ac:dyDescent="0.25">
      <c r="A2641" s="3" t="s">
        <v>199</v>
      </c>
      <c r="B2641" s="3" t="s">
        <v>693</v>
      </c>
      <c r="C2641" s="3" t="s">
        <v>692</v>
      </c>
    </row>
    <row r="2642" spans="1:3" ht="15" x14ac:dyDescent="0.25">
      <c r="A2642" s="3" t="s">
        <v>137</v>
      </c>
      <c r="B2642" s="3" t="s">
        <v>693</v>
      </c>
      <c r="C2642" s="3" t="s">
        <v>692</v>
      </c>
    </row>
    <row r="2643" spans="1:3" ht="15" x14ac:dyDescent="0.25">
      <c r="A2643" s="3" t="s">
        <v>340</v>
      </c>
      <c r="B2643" s="3" t="s">
        <v>693</v>
      </c>
      <c r="C2643" s="3" t="s">
        <v>692</v>
      </c>
    </row>
    <row r="2644" spans="1:3" ht="15" x14ac:dyDescent="0.25">
      <c r="A2644" s="3" t="s">
        <v>545</v>
      </c>
      <c r="B2644" s="3" t="s">
        <v>693</v>
      </c>
      <c r="C2644" s="3" t="s">
        <v>692</v>
      </c>
    </row>
    <row r="2645" spans="1:3" ht="15" x14ac:dyDescent="0.25">
      <c r="A2645" s="3" t="s">
        <v>521</v>
      </c>
      <c r="B2645" s="3" t="s">
        <v>693</v>
      </c>
      <c r="C2645" s="3" t="s">
        <v>692</v>
      </c>
    </row>
    <row r="2646" spans="1:3" ht="15" x14ac:dyDescent="0.25">
      <c r="A2646" s="3" t="s">
        <v>200</v>
      </c>
      <c r="B2646" s="3" t="s">
        <v>693</v>
      </c>
      <c r="C2646" s="3" t="s">
        <v>692</v>
      </c>
    </row>
    <row r="2647" spans="1:3" ht="15" x14ac:dyDescent="0.25">
      <c r="A2647" s="3" t="s">
        <v>52</v>
      </c>
      <c r="B2647" s="3" t="s">
        <v>693</v>
      </c>
      <c r="C2647" s="3" t="s">
        <v>692</v>
      </c>
    </row>
    <row r="2648" spans="1:3" ht="15" x14ac:dyDescent="0.25">
      <c r="A2648" s="3" t="s">
        <v>686</v>
      </c>
      <c r="B2648" s="3" t="s">
        <v>693</v>
      </c>
      <c r="C2648" s="3" t="s">
        <v>692</v>
      </c>
    </row>
    <row r="2649" spans="1:3" ht="15" x14ac:dyDescent="0.25">
      <c r="A2649" s="3" t="s">
        <v>398</v>
      </c>
      <c r="B2649" s="3" t="s">
        <v>693</v>
      </c>
      <c r="C2649" s="3" t="s">
        <v>692</v>
      </c>
    </row>
    <row r="2650" spans="1:3" ht="15" x14ac:dyDescent="0.25">
      <c r="A2650" s="3" t="s">
        <v>419</v>
      </c>
      <c r="B2650" s="3" t="s">
        <v>693</v>
      </c>
      <c r="C2650" s="3" t="s">
        <v>692</v>
      </c>
    </row>
    <row r="2651" spans="1:3" ht="15" x14ac:dyDescent="0.25">
      <c r="A2651" s="3" t="s">
        <v>180</v>
      </c>
      <c r="B2651" s="3" t="s">
        <v>693</v>
      </c>
      <c r="C2651" s="3" t="s">
        <v>692</v>
      </c>
    </row>
    <row r="2652" spans="1:3" ht="15" x14ac:dyDescent="0.25">
      <c r="A2652" s="3" t="s">
        <v>300</v>
      </c>
      <c r="B2652" s="3" t="s">
        <v>693</v>
      </c>
      <c r="C2652" s="3" t="s">
        <v>692</v>
      </c>
    </row>
    <row r="2653" spans="1:3" ht="15" x14ac:dyDescent="0.25">
      <c r="A2653" s="3" t="s">
        <v>215</v>
      </c>
      <c r="B2653" s="3" t="s">
        <v>693</v>
      </c>
      <c r="C2653" s="3" t="s">
        <v>692</v>
      </c>
    </row>
    <row r="2654" spans="1:3" ht="15" x14ac:dyDescent="0.25">
      <c r="A2654" s="3" t="s">
        <v>134</v>
      </c>
      <c r="B2654" s="3" t="s">
        <v>693</v>
      </c>
      <c r="C2654" s="3" t="s">
        <v>692</v>
      </c>
    </row>
    <row r="2655" spans="1:3" ht="15" x14ac:dyDescent="0.25">
      <c r="A2655" s="3" t="s">
        <v>150</v>
      </c>
      <c r="B2655" s="3" t="s">
        <v>693</v>
      </c>
      <c r="C2655" s="3" t="s">
        <v>692</v>
      </c>
    </row>
    <row r="2656" spans="1:3" ht="15" x14ac:dyDescent="0.25">
      <c r="A2656" s="3" t="s">
        <v>55</v>
      </c>
      <c r="B2656" s="3" t="s">
        <v>693</v>
      </c>
      <c r="C2656" s="3" t="s">
        <v>692</v>
      </c>
    </row>
    <row r="2657" spans="1:3" ht="15" x14ac:dyDescent="0.25">
      <c r="A2657" s="3" t="s">
        <v>318</v>
      </c>
      <c r="B2657" s="3" t="s">
        <v>693</v>
      </c>
      <c r="C2657" s="3" t="s">
        <v>692</v>
      </c>
    </row>
    <row r="2658" spans="1:3" ht="15" x14ac:dyDescent="0.25">
      <c r="A2658" s="3" t="s">
        <v>224</v>
      </c>
      <c r="B2658" s="3" t="s">
        <v>693</v>
      </c>
      <c r="C2658" s="3" t="s">
        <v>692</v>
      </c>
    </row>
    <row r="2659" spans="1:3" ht="15" x14ac:dyDescent="0.25">
      <c r="A2659" s="3" t="s">
        <v>353</v>
      </c>
      <c r="B2659" s="3" t="s">
        <v>693</v>
      </c>
      <c r="C2659" s="3" t="s">
        <v>692</v>
      </c>
    </row>
    <row r="2660" spans="1:3" ht="15" x14ac:dyDescent="0.25">
      <c r="A2660" s="3" t="s">
        <v>263</v>
      </c>
      <c r="B2660" s="3" t="s">
        <v>693</v>
      </c>
      <c r="C2660" s="3" t="s">
        <v>692</v>
      </c>
    </row>
    <row r="2661" spans="1:3" ht="15" x14ac:dyDescent="0.25">
      <c r="A2661" s="3" t="s">
        <v>616</v>
      </c>
      <c r="B2661" s="3" t="s">
        <v>693</v>
      </c>
      <c r="C2661" s="3" t="s">
        <v>692</v>
      </c>
    </row>
    <row r="2662" spans="1:3" ht="15" x14ac:dyDescent="0.25">
      <c r="A2662" s="3" t="s">
        <v>232</v>
      </c>
      <c r="B2662" s="3" t="s">
        <v>693</v>
      </c>
      <c r="C2662" s="3" t="s">
        <v>692</v>
      </c>
    </row>
    <row r="2663" spans="1:3" ht="15" x14ac:dyDescent="0.25">
      <c r="A2663" s="3" t="s">
        <v>321</v>
      </c>
      <c r="B2663" s="3" t="s">
        <v>693</v>
      </c>
      <c r="C2663" s="3" t="s">
        <v>692</v>
      </c>
    </row>
    <row r="2664" spans="1:3" ht="15" x14ac:dyDescent="0.25">
      <c r="A2664" s="3" t="s">
        <v>343</v>
      </c>
      <c r="B2664" s="3" t="s">
        <v>693</v>
      </c>
      <c r="C2664" s="3" t="s">
        <v>692</v>
      </c>
    </row>
    <row r="2665" spans="1:3" ht="15" x14ac:dyDescent="0.25">
      <c r="A2665" s="3" t="s">
        <v>72</v>
      </c>
      <c r="B2665" s="3" t="s">
        <v>693</v>
      </c>
      <c r="C2665" s="3" t="s">
        <v>692</v>
      </c>
    </row>
    <row r="2666" spans="1:3" ht="15" x14ac:dyDescent="0.25">
      <c r="A2666" s="3" t="s">
        <v>400</v>
      </c>
      <c r="B2666" s="3" t="s">
        <v>693</v>
      </c>
      <c r="C2666" s="3" t="s">
        <v>692</v>
      </c>
    </row>
    <row r="2667" spans="1:3" ht="15" x14ac:dyDescent="0.25">
      <c r="A2667" s="3" t="s">
        <v>268</v>
      </c>
      <c r="B2667" s="3" t="s">
        <v>693</v>
      </c>
      <c r="C2667" s="3" t="s">
        <v>692</v>
      </c>
    </row>
    <row r="2668" spans="1:3" ht="15" x14ac:dyDescent="0.25">
      <c r="A2668" s="3" t="s">
        <v>81</v>
      </c>
      <c r="B2668" s="3" t="s">
        <v>693</v>
      </c>
      <c r="C2668" s="3" t="s">
        <v>692</v>
      </c>
    </row>
    <row r="2669" spans="1:3" ht="15" x14ac:dyDescent="0.25">
      <c r="A2669" s="3" t="s">
        <v>92</v>
      </c>
      <c r="B2669" s="3" t="s">
        <v>693</v>
      </c>
      <c r="C2669" s="3" t="s">
        <v>692</v>
      </c>
    </row>
    <row r="2670" spans="1:3" ht="15" x14ac:dyDescent="0.25">
      <c r="A2670" s="3" t="s">
        <v>202</v>
      </c>
      <c r="B2670" s="3" t="s">
        <v>693</v>
      </c>
      <c r="C2670" s="3" t="s">
        <v>692</v>
      </c>
    </row>
    <row r="2671" spans="1:3" ht="15" x14ac:dyDescent="0.25">
      <c r="A2671" s="3" t="s">
        <v>534</v>
      </c>
      <c r="B2671" s="3" t="s">
        <v>693</v>
      </c>
      <c r="C2671" s="3" t="s">
        <v>692</v>
      </c>
    </row>
    <row r="2672" spans="1:3" ht="15" x14ac:dyDescent="0.25">
      <c r="A2672" s="3" t="s">
        <v>269</v>
      </c>
      <c r="B2672" s="3" t="s">
        <v>693</v>
      </c>
      <c r="C2672" s="3" t="s">
        <v>692</v>
      </c>
    </row>
    <row r="2673" spans="1:3" ht="15" x14ac:dyDescent="0.25">
      <c r="A2673" s="3" t="s">
        <v>161</v>
      </c>
      <c r="B2673" s="3" t="s">
        <v>693</v>
      </c>
      <c r="C2673" s="3" t="s">
        <v>692</v>
      </c>
    </row>
    <row r="2674" spans="1:3" ht="15" x14ac:dyDescent="0.25">
      <c r="A2674" s="3" t="s">
        <v>376</v>
      </c>
      <c r="B2674" s="3" t="s">
        <v>693</v>
      </c>
      <c r="C2674" s="3" t="s">
        <v>692</v>
      </c>
    </row>
    <row r="2675" spans="1:3" ht="15" x14ac:dyDescent="0.25">
      <c r="A2675" s="3" t="s">
        <v>330</v>
      </c>
      <c r="B2675" s="3" t="s">
        <v>693</v>
      </c>
      <c r="C2675" s="3" t="s">
        <v>692</v>
      </c>
    </row>
    <row r="2676" spans="1:3" ht="15" x14ac:dyDescent="0.25">
      <c r="A2676" s="3" t="s">
        <v>228</v>
      </c>
      <c r="B2676" s="3" t="s">
        <v>693</v>
      </c>
      <c r="C2676" s="3" t="s">
        <v>692</v>
      </c>
    </row>
    <row r="2677" spans="1:3" ht="15" x14ac:dyDescent="0.25">
      <c r="A2677" s="3" t="s">
        <v>99</v>
      </c>
      <c r="B2677" s="3" t="s">
        <v>693</v>
      </c>
      <c r="C2677" s="3" t="s">
        <v>692</v>
      </c>
    </row>
    <row r="2678" spans="1:3" ht="15" x14ac:dyDescent="0.25">
      <c r="A2678" s="3" t="s">
        <v>119</v>
      </c>
      <c r="B2678" s="3" t="s">
        <v>693</v>
      </c>
      <c r="C2678" s="3" t="s">
        <v>692</v>
      </c>
    </row>
    <row r="2679" spans="1:3" ht="15" x14ac:dyDescent="0.25">
      <c r="A2679" s="3" t="s">
        <v>275</v>
      </c>
      <c r="B2679" s="3" t="s">
        <v>693</v>
      </c>
      <c r="C2679" s="3" t="s">
        <v>692</v>
      </c>
    </row>
    <row r="2680" spans="1:3" ht="15" x14ac:dyDescent="0.25">
      <c r="A2680" s="3" t="s">
        <v>530</v>
      </c>
      <c r="B2680" s="3" t="s">
        <v>693</v>
      </c>
      <c r="C2680" s="3" t="s">
        <v>692</v>
      </c>
    </row>
    <row r="2681" spans="1:3" ht="15" x14ac:dyDescent="0.25">
      <c r="A2681" s="3" t="s">
        <v>120</v>
      </c>
      <c r="B2681" s="3" t="s">
        <v>693</v>
      </c>
      <c r="C2681" s="3" t="s">
        <v>692</v>
      </c>
    </row>
    <row r="2682" spans="1:3" ht="15" x14ac:dyDescent="0.25">
      <c r="A2682" s="3" t="s">
        <v>181</v>
      </c>
      <c r="B2682" s="3" t="s">
        <v>693</v>
      </c>
      <c r="C2682" s="3" t="s">
        <v>692</v>
      </c>
    </row>
    <row r="2683" spans="1:3" ht="15" x14ac:dyDescent="0.25">
      <c r="A2683" s="3" t="s">
        <v>204</v>
      </c>
      <c r="B2683" s="3" t="s">
        <v>693</v>
      </c>
      <c r="C2683" s="3" t="s">
        <v>692</v>
      </c>
    </row>
    <row r="2684" spans="1:3" ht="15" x14ac:dyDescent="0.25">
      <c r="A2684" s="3" t="s">
        <v>145</v>
      </c>
      <c r="B2684" s="3" t="s">
        <v>693</v>
      </c>
      <c r="C2684" s="3" t="s">
        <v>692</v>
      </c>
    </row>
    <row r="2685" spans="1:3" ht="15" x14ac:dyDescent="0.25">
      <c r="A2685" s="3" t="s">
        <v>346</v>
      </c>
      <c r="B2685" s="3" t="s">
        <v>693</v>
      </c>
      <c r="C2685" s="3" t="s">
        <v>692</v>
      </c>
    </row>
    <row r="2686" spans="1:3" ht="15" x14ac:dyDescent="0.25">
      <c r="A2686" s="3" t="s">
        <v>233</v>
      </c>
      <c r="B2686" s="3" t="s">
        <v>691</v>
      </c>
      <c r="C2686" s="3" t="s">
        <v>692</v>
      </c>
    </row>
    <row r="2687" spans="1:3" ht="15" x14ac:dyDescent="0.25">
      <c r="A2687" s="3" t="s">
        <v>683</v>
      </c>
      <c r="B2687" s="3" t="s">
        <v>691</v>
      </c>
      <c r="C2687" s="3" t="s">
        <v>692</v>
      </c>
    </row>
    <row r="2688" spans="1:3" ht="15" x14ac:dyDescent="0.25">
      <c r="A2688" s="3" t="s">
        <v>183</v>
      </c>
      <c r="B2688" s="3" t="s">
        <v>691</v>
      </c>
      <c r="C2688" s="3" t="s">
        <v>692</v>
      </c>
    </row>
    <row r="2689" spans="1:3" ht="15" x14ac:dyDescent="0.25">
      <c r="A2689" s="3" t="s">
        <v>408</v>
      </c>
      <c r="B2689" s="3" t="s">
        <v>691</v>
      </c>
      <c r="C2689" s="3" t="s">
        <v>692</v>
      </c>
    </row>
    <row r="2690" spans="1:3" ht="15" x14ac:dyDescent="0.25">
      <c r="A2690" s="3" t="s">
        <v>127</v>
      </c>
      <c r="B2690" s="3" t="s">
        <v>691</v>
      </c>
      <c r="C2690" s="3" t="s">
        <v>692</v>
      </c>
    </row>
    <row r="2691" spans="1:3" ht="15" x14ac:dyDescent="0.25">
      <c r="A2691" s="3" t="s">
        <v>209</v>
      </c>
      <c r="B2691" s="3" t="s">
        <v>691</v>
      </c>
      <c r="C2691" s="3" t="s">
        <v>692</v>
      </c>
    </row>
    <row r="2692" spans="1:3" ht="15" x14ac:dyDescent="0.25">
      <c r="A2692" s="3" t="s">
        <v>11</v>
      </c>
      <c r="B2692" s="3" t="s">
        <v>691</v>
      </c>
      <c r="C2692" s="3" t="s">
        <v>692</v>
      </c>
    </row>
    <row r="2693" spans="1:3" ht="15" x14ac:dyDescent="0.25">
      <c r="A2693" s="3" t="s">
        <v>188</v>
      </c>
      <c r="B2693" s="3" t="s">
        <v>691</v>
      </c>
      <c r="C2693" s="3" t="s">
        <v>692</v>
      </c>
    </row>
    <row r="2694" spans="1:3" ht="15" x14ac:dyDescent="0.25">
      <c r="A2694" s="3" t="s">
        <v>4</v>
      </c>
      <c r="B2694" s="3" t="s">
        <v>691</v>
      </c>
      <c r="C2694" s="3" t="s">
        <v>692</v>
      </c>
    </row>
    <row r="2695" spans="1:3" ht="15" x14ac:dyDescent="0.25">
      <c r="A2695" s="3" t="s">
        <v>285</v>
      </c>
      <c r="B2695" s="3" t="s">
        <v>691</v>
      </c>
      <c r="C2695" s="3" t="s">
        <v>692</v>
      </c>
    </row>
    <row r="2696" spans="1:3" ht="15" x14ac:dyDescent="0.25">
      <c r="A2696" s="3" t="s">
        <v>286</v>
      </c>
      <c r="B2696" s="3" t="s">
        <v>691</v>
      </c>
      <c r="C2696" s="3" t="s">
        <v>692</v>
      </c>
    </row>
    <row r="2697" spans="1:3" ht="15" x14ac:dyDescent="0.25">
      <c r="A2697" s="3" t="s">
        <v>410</v>
      </c>
      <c r="B2697" s="3" t="s">
        <v>691</v>
      </c>
      <c r="C2697" s="3" t="s">
        <v>692</v>
      </c>
    </row>
    <row r="2698" spans="1:3" ht="15" x14ac:dyDescent="0.25">
      <c r="A2698" s="3" t="s">
        <v>210</v>
      </c>
      <c r="B2698" s="3" t="s">
        <v>691</v>
      </c>
      <c r="C2698" s="3" t="s">
        <v>692</v>
      </c>
    </row>
    <row r="2699" spans="1:3" ht="15" x14ac:dyDescent="0.25">
      <c r="A2699" s="3" t="s">
        <v>129</v>
      </c>
      <c r="B2699" s="3" t="s">
        <v>691</v>
      </c>
      <c r="C2699" s="3" t="s">
        <v>692</v>
      </c>
    </row>
    <row r="2700" spans="1:3" ht="15" x14ac:dyDescent="0.25">
      <c r="A2700" s="3" t="s">
        <v>287</v>
      </c>
      <c r="B2700" s="3" t="s">
        <v>691</v>
      </c>
      <c r="C2700" s="3" t="s">
        <v>692</v>
      </c>
    </row>
    <row r="2701" spans="1:3" ht="15" x14ac:dyDescent="0.25">
      <c r="A2701" s="3" t="s">
        <v>211</v>
      </c>
      <c r="B2701" s="3" t="s">
        <v>691</v>
      </c>
      <c r="C2701" s="3" t="s">
        <v>692</v>
      </c>
    </row>
    <row r="2702" spans="1:3" ht="15" x14ac:dyDescent="0.25">
      <c r="A2702" s="3" t="s">
        <v>532</v>
      </c>
      <c r="B2702" s="3" t="s">
        <v>691</v>
      </c>
      <c r="C2702" s="3" t="s">
        <v>692</v>
      </c>
    </row>
    <row r="2703" spans="1:3" ht="15" x14ac:dyDescent="0.25">
      <c r="A2703" s="3" t="s">
        <v>388</v>
      </c>
      <c r="B2703" s="3" t="s">
        <v>691</v>
      </c>
      <c r="C2703" s="3" t="s">
        <v>692</v>
      </c>
    </row>
    <row r="2704" spans="1:3" ht="15" x14ac:dyDescent="0.25">
      <c r="A2704" s="3" t="s">
        <v>292</v>
      </c>
      <c r="B2704" s="3" t="s">
        <v>691</v>
      </c>
      <c r="C2704" s="3" t="s">
        <v>692</v>
      </c>
    </row>
    <row r="2705" spans="1:3" ht="15" x14ac:dyDescent="0.25">
      <c r="A2705" s="3" t="s">
        <v>293</v>
      </c>
      <c r="B2705" s="3" t="s">
        <v>691</v>
      </c>
      <c r="C2705" s="3" t="s">
        <v>692</v>
      </c>
    </row>
    <row r="2706" spans="1:3" ht="15" x14ac:dyDescent="0.25">
      <c r="A2706" s="3" t="s">
        <v>212</v>
      </c>
      <c r="B2706" s="3" t="s">
        <v>691</v>
      </c>
      <c r="C2706" s="3" t="s">
        <v>692</v>
      </c>
    </row>
    <row r="2707" spans="1:3" ht="15" x14ac:dyDescent="0.25">
      <c r="A2707" s="3" t="s">
        <v>296</v>
      </c>
      <c r="B2707" s="3" t="s">
        <v>691</v>
      </c>
      <c r="C2707" s="3" t="s">
        <v>692</v>
      </c>
    </row>
    <row r="2708" spans="1:3" ht="15" x14ac:dyDescent="0.25">
      <c r="A2708" s="3" t="s">
        <v>138</v>
      </c>
      <c r="B2708" s="3" t="s">
        <v>691</v>
      </c>
      <c r="C2708" s="3" t="s">
        <v>692</v>
      </c>
    </row>
    <row r="2709" spans="1:3" ht="15" x14ac:dyDescent="0.25">
      <c r="A2709" s="3" t="s">
        <v>214</v>
      </c>
      <c r="B2709" s="3" t="s">
        <v>691</v>
      </c>
      <c r="C2709" s="3" t="s">
        <v>692</v>
      </c>
    </row>
    <row r="2710" spans="1:3" ht="15" x14ac:dyDescent="0.25">
      <c r="A2710" s="3" t="s">
        <v>22</v>
      </c>
      <c r="B2710" s="3" t="s">
        <v>691</v>
      </c>
      <c r="C2710" s="3" t="s">
        <v>692</v>
      </c>
    </row>
    <row r="2711" spans="1:3" ht="15" x14ac:dyDescent="0.25">
      <c r="A2711" s="3" t="s">
        <v>135</v>
      </c>
      <c r="B2711" s="3" t="s">
        <v>691</v>
      </c>
      <c r="C2711" s="3" t="s">
        <v>692</v>
      </c>
    </row>
    <row r="2712" spans="1:3" ht="15" x14ac:dyDescent="0.25">
      <c r="A2712" s="3" t="s">
        <v>218</v>
      </c>
      <c r="B2712" s="3" t="s">
        <v>691</v>
      </c>
      <c r="C2712" s="3" t="s">
        <v>692</v>
      </c>
    </row>
    <row r="2713" spans="1:3" ht="15" x14ac:dyDescent="0.25">
      <c r="A2713" s="3" t="s">
        <v>298</v>
      </c>
      <c r="B2713" s="3" t="s">
        <v>691</v>
      </c>
      <c r="C2713" s="3" t="s">
        <v>692</v>
      </c>
    </row>
    <row r="2714" spans="1:3" ht="15" x14ac:dyDescent="0.25">
      <c r="A2714" s="3" t="s">
        <v>243</v>
      </c>
      <c r="B2714" s="3" t="s">
        <v>691</v>
      </c>
      <c r="C2714" s="3" t="s">
        <v>692</v>
      </c>
    </row>
    <row r="2715" spans="1:3" ht="15" x14ac:dyDescent="0.25">
      <c r="A2715" s="3" t="s">
        <v>516</v>
      </c>
      <c r="B2715" s="3" t="s">
        <v>691</v>
      </c>
      <c r="C2715" s="3" t="s">
        <v>692</v>
      </c>
    </row>
    <row r="2716" spans="1:3" ht="15" x14ac:dyDescent="0.25">
      <c r="A2716" s="3" t="s">
        <v>217</v>
      </c>
      <c r="B2716" s="3" t="s">
        <v>691</v>
      </c>
      <c r="C2716" s="3" t="s">
        <v>692</v>
      </c>
    </row>
    <row r="2717" spans="1:3" ht="15" x14ac:dyDescent="0.25">
      <c r="A2717" s="3" t="s">
        <v>250</v>
      </c>
      <c r="B2717" s="3" t="s">
        <v>691</v>
      </c>
      <c r="C2717" s="3" t="s">
        <v>692</v>
      </c>
    </row>
    <row r="2718" spans="1:3" ht="15" x14ac:dyDescent="0.25">
      <c r="A2718" s="3" t="s">
        <v>655</v>
      </c>
      <c r="B2718" s="3" t="s">
        <v>691</v>
      </c>
      <c r="C2718" s="3" t="s">
        <v>692</v>
      </c>
    </row>
    <row r="2719" spans="1:3" ht="15" x14ac:dyDescent="0.25">
      <c r="A2719" s="3" t="s">
        <v>667</v>
      </c>
      <c r="B2719" s="3" t="s">
        <v>691</v>
      </c>
      <c r="C2719" s="3" t="s">
        <v>692</v>
      </c>
    </row>
    <row r="2720" spans="1:3" ht="15" x14ac:dyDescent="0.25">
      <c r="A2720" s="3" t="s">
        <v>451</v>
      </c>
      <c r="B2720" s="3" t="s">
        <v>691</v>
      </c>
      <c r="C2720" s="3" t="s">
        <v>692</v>
      </c>
    </row>
    <row r="2721" spans="1:3" ht="15" x14ac:dyDescent="0.25">
      <c r="A2721" s="3" t="s">
        <v>604</v>
      </c>
      <c r="B2721" s="3" t="s">
        <v>691</v>
      </c>
      <c r="C2721" s="3" t="s">
        <v>692</v>
      </c>
    </row>
    <row r="2722" spans="1:3" ht="15" x14ac:dyDescent="0.25">
      <c r="A2722" s="3" t="s">
        <v>305</v>
      </c>
      <c r="B2722" s="3" t="s">
        <v>691</v>
      </c>
      <c r="C2722" s="3" t="s">
        <v>692</v>
      </c>
    </row>
    <row r="2723" spans="1:3" ht="15" x14ac:dyDescent="0.25">
      <c r="A2723" s="3" t="s">
        <v>255</v>
      </c>
      <c r="B2723" s="3" t="s">
        <v>691</v>
      </c>
      <c r="C2723" s="3" t="s">
        <v>692</v>
      </c>
    </row>
    <row r="2724" spans="1:3" ht="15" x14ac:dyDescent="0.25">
      <c r="A2724" s="3" t="s">
        <v>41</v>
      </c>
      <c r="B2724" s="3" t="s">
        <v>691</v>
      </c>
      <c r="C2724" s="3" t="s">
        <v>692</v>
      </c>
    </row>
    <row r="2725" spans="1:3" ht="15" x14ac:dyDescent="0.25">
      <c r="A2725" s="3" t="s">
        <v>49</v>
      </c>
      <c r="B2725" s="3" t="s">
        <v>691</v>
      </c>
      <c r="C2725" s="3" t="s">
        <v>692</v>
      </c>
    </row>
    <row r="2726" spans="1:3" ht="15" x14ac:dyDescent="0.25">
      <c r="A2726" s="3" t="s">
        <v>308</v>
      </c>
      <c r="B2726" s="3" t="s">
        <v>691</v>
      </c>
      <c r="C2726" s="3" t="s">
        <v>692</v>
      </c>
    </row>
    <row r="2727" spans="1:3" ht="15" x14ac:dyDescent="0.25">
      <c r="A2727" s="3" t="s">
        <v>393</v>
      </c>
      <c r="B2727" s="3" t="s">
        <v>691</v>
      </c>
      <c r="C2727" s="3" t="s">
        <v>692</v>
      </c>
    </row>
    <row r="2728" spans="1:3" ht="15" x14ac:dyDescent="0.25">
      <c r="A2728" s="3" t="s">
        <v>313</v>
      </c>
      <c r="B2728" s="3" t="s">
        <v>691</v>
      </c>
      <c r="C2728" s="3" t="s">
        <v>692</v>
      </c>
    </row>
    <row r="2729" spans="1:3" ht="15" x14ac:dyDescent="0.25">
      <c r="A2729" s="3" t="s">
        <v>314</v>
      </c>
      <c r="B2729" s="3" t="s">
        <v>691</v>
      </c>
      <c r="C2729" s="3" t="s">
        <v>692</v>
      </c>
    </row>
    <row r="2730" spans="1:3" ht="15" x14ac:dyDescent="0.25">
      <c r="A2730" s="3" t="s">
        <v>222</v>
      </c>
      <c r="B2730" s="3" t="s">
        <v>691</v>
      </c>
      <c r="C2730" s="3" t="s">
        <v>692</v>
      </c>
    </row>
    <row r="2731" spans="1:3" ht="15" x14ac:dyDescent="0.25">
      <c r="A2731" s="3" t="s">
        <v>351</v>
      </c>
      <c r="B2731" s="3" t="s">
        <v>691</v>
      </c>
      <c r="C2731" s="3" t="s">
        <v>692</v>
      </c>
    </row>
    <row r="2732" spans="1:3" ht="15" x14ac:dyDescent="0.25">
      <c r="A2732" s="3" t="s">
        <v>417</v>
      </c>
      <c r="B2732" s="3" t="s">
        <v>691</v>
      </c>
      <c r="C2732" s="3" t="s">
        <v>692</v>
      </c>
    </row>
    <row r="2733" spans="1:3" ht="15" x14ac:dyDescent="0.25">
      <c r="A2733" s="3" t="s">
        <v>177</v>
      </c>
      <c r="B2733" s="3" t="s">
        <v>691</v>
      </c>
      <c r="C2733" s="3" t="s">
        <v>692</v>
      </c>
    </row>
    <row r="2734" spans="1:3" ht="15" x14ac:dyDescent="0.25">
      <c r="A2734" s="3" t="s">
        <v>317</v>
      </c>
      <c r="B2734" s="3" t="s">
        <v>691</v>
      </c>
      <c r="C2734" s="3" t="s">
        <v>692</v>
      </c>
    </row>
    <row r="2735" spans="1:3" ht="15" x14ac:dyDescent="0.25">
      <c r="A2735" s="3" t="s">
        <v>366</v>
      </c>
      <c r="B2735" s="3" t="s">
        <v>691</v>
      </c>
      <c r="C2735" s="3" t="s">
        <v>692</v>
      </c>
    </row>
    <row r="2736" spans="1:3" ht="15" x14ac:dyDescent="0.25">
      <c r="A2736" s="3" t="s">
        <v>337</v>
      </c>
      <c r="B2736" s="3" t="s">
        <v>691</v>
      </c>
      <c r="C2736" s="3" t="s">
        <v>692</v>
      </c>
    </row>
    <row r="2737" spans="1:3" ht="15" x14ac:dyDescent="0.25">
      <c r="A2737" s="3" t="s">
        <v>468</v>
      </c>
      <c r="B2737" s="3" t="s">
        <v>691</v>
      </c>
      <c r="C2737" s="3" t="s">
        <v>692</v>
      </c>
    </row>
    <row r="2738" spans="1:3" ht="15" x14ac:dyDescent="0.25">
      <c r="A2738" s="3" t="s">
        <v>154</v>
      </c>
      <c r="B2738" s="3" t="s">
        <v>691</v>
      </c>
      <c r="C2738" s="3" t="s">
        <v>692</v>
      </c>
    </row>
    <row r="2739" spans="1:3" ht="15" x14ac:dyDescent="0.25">
      <c r="A2739" s="3" t="s">
        <v>261</v>
      </c>
      <c r="B2739" s="3" t="s">
        <v>691</v>
      </c>
      <c r="C2739" s="3" t="s">
        <v>692</v>
      </c>
    </row>
    <row r="2740" spans="1:3" ht="15" x14ac:dyDescent="0.25">
      <c r="A2740" s="3" t="s">
        <v>262</v>
      </c>
      <c r="B2740" s="3" t="s">
        <v>691</v>
      </c>
      <c r="C2740" s="3" t="s">
        <v>692</v>
      </c>
    </row>
    <row r="2741" spans="1:3" ht="15" x14ac:dyDescent="0.25">
      <c r="A2741" s="3" t="s">
        <v>111</v>
      </c>
      <c r="B2741" s="3" t="s">
        <v>691</v>
      </c>
      <c r="C2741" s="3" t="s">
        <v>692</v>
      </c>
    </row>
    <row r="2742" spans="1:3" ht="15" x14ac:dyDescent="0.25">
      <c r="A2742" s="3" t="s">
        <v>59</v>
      </c>
      <c r="B2742" s="3" t="s">
        <v>691</v>
      </c>
      <c r="C2742" s="3" t="s">
        <v>692</v>
      </c>
    </row>
    <row r="2743" spans="1:3" ht="15" x14ac:dyDescent="0.25">
      <c r="A2743" s="3" t="s">
        <v>390</v>
      </c>
      <c r="B2743" s="3" t="s">
        <v>691</v>
      </c>
      <c r="C2743" s="3" t="s">
        <v>692</v>
      </c>
    </row>
    <row r="2744" spans="1:3" ht="15" x14ac:dyDescent="0.25">
      <c r="A2744" s="3" t="s">
        <v>501</v>
      </c>
      <c r="B2744" s="3" t="s">
        <v>691</v>
      </c>
      <c r="C2744" s="3" t="s">
        <v>692</v>
      </c>
    </row>
    <row r="2745" spans="1:3" ht="15" x14ac:dyDescent="0.25">
      <c r="A2745" s="3" t="s">
        <v>67</v>
      </c>
      <c r="B2745" s="3" t="s">
        <v>691</v>
      </c>
      <c r="C2745" s="3" t="s">
        <v>692</v>
      </c>
    </row>
    <row r="2746" spans="1:3" ht="15" x14ac:dyDescent="0.25">
      <c r="A2746" s="3" t="s">
        <v>201</v>
      </c>
      <c r="B2746" s="3" t="s">
        <v>691</v>
      </c>
      <c r="C2746" s="3" t="s">
        <v>692</v>
      </c>
    </row>
    <row r="2747" spans="1:3" ht="15" x14ac:dyDescent="0.25">
      <c r="A2747" s="3" t="s">
        <v>343</v>
      </c>
      <c r="B2747" s="3" t="s">
        <v>691</v>
      </c>
      <c r="C2747" s="3" t="s">
        <v>692</v>
      </c>
    </row>
    <row r="2748" spans="1:3" ht="15" x14ac:dyDescent="0.25">
      <c r="A2748" s="3" t="s">
        <v>70</v>
      </c>
      <c r="B2748" s="3" t="s">
        <v>691</v>
      </c>
      <c r="C2748" s="3" t="s">
        <v>692</v>
      </c>
    </row>
    <row r="2749" spans="1:3" ht="15" x14ac:dyDescent="0.25">
      <c r="A2749" s="3" t="s">
        <v>72</v>
      </c>
      <c r="B2749" s="3" t="s">
        <v>691</v>
      </c>
      <c r="C2749" s="3" t="s">
        <v>692</v>
      </c>
    </row>
    <row r="2750" spans="1:3" ht="15" x14ac:dyDescent="0.25">
      <c r="A2750" s="3" t="s">
        <v>265</v>
      </c>
      <c r="B2750" s="3" t="s">
        <v>691</v>
      </c>
      <c r="C2750" s="3" t="s">
        <v>692</v>
      </c>
    </row>
    <row r="2751" spans="1:3" ht="15" x14ac:dyDescent="0.25">
      <c r="A2751" s="3" t="s">
        <v>226</v>
      </c>
      <c r="B2751" s="3" t="s">
        <v>691</v>
      </c>
      <c r="C2751" s="3" t="s">
        <v>692</v>
      </c>
    </row>
    <row r="2752" spans="1:3" ht="15" x14ac:dyDescent="0.25">
      <c r="A2752" s="3" t="s">
        <v>267</v>
      </c>
      <c r="B2752" s="3" t="s">
        <v>691</v>
      </c>
      <c r="C2752" s="3" t="s">
        <v>692</v>
      </c>
    </row>
    <row r="2753" spans="1:3" ht="15" x14ac:dyDescent="0.25">
      <c r="A2753" s="3" t="s">
        <v>75</v>
      </c>
      <c r="B2753" s="3" t="s">
        <v>691</v>
      </c>
      <c r="C2753" s="3" t="s">
        <v>692</v>
      </c>
    </row>
    <row r="2754" spans="1:3" ht="15" x14ac:dyDescent="0.25">
      <c r="A2754" s="3" t="s">
        <v>529</v>
      </c>
      <c r="B2754" s="3" t="s">
        <v>691</v>
      </c>
      <c r="C2754" s="3" t="s">
        <v>692</v>
      </c>
    </row>
    <row r="2755" spans="1:3" ht="15" x14ac:dyDescent="0.25">
      <c r="A2755" s="3" t="s">
        <v>375</v>
      </c>
      <c r="B2755" s="3" t="s">
        <v>691</v>
      </c>
      <c r="C2755" s="3" t="s">
        <v>692</v>
      </c>
    </row>
    <row r="2756" spans="1:3" ht="15" x14ac:dyDescent="0.25">
      <c r="A2756" s="3" t="s">
        <v>391</v>
      </c>
      <c r="B2756" s="3" t="s">
        <v>691</v>
      </c>
      <c r="C2756" s="3" t="s">
        <v>692</v>
      </c>
    </row>
    <row r="2757" spans="1:3" ht="15" x14ac:dyDescent="0.25">
      <c r="A2757" s="3" t="s">
        <v>84</v>
      </c>
      <c r="B2757" s="3" t="s">
        <v>691</v>
      </c>
      <c r="C2757" s="3" t="s">
        <v>692</v>
      </c>
    </row>
    <row r="2758" spans="1:3" ht="15" x14ac:dyDescent="0.25">
      <c r="A2758" s="3" t="s">
        <v>87</v>
      </c>
      <c r="B2758" s="3" t="s">
        <v>691</v>
      </c>
      <c r="C2758" s="3" t="s">
        <v>692</v>
      </c>
    </row>
    <row r="2759" spans="1:3" ht="15" x14ac:dyDescent="0.25">
      <c r="A2759" s="3" t="s">
        <v>89</v>
      </c>
      <c r="B2759" s="3" t="s">
        <v>691</v>
      </c>
      <c r="C2759" s="3" t="s">
        <v>692</v>
      </c>
    </row>
    <row r="2760" spans="1:3" ht="15" x14ac:dyDescent="0.25">
      <c r="A2760" s="3" t="s">
        <v>90</v>
      </c>
      <c r="B2760" s="3" t="s">
        <v>691</v>
      </c>
      <c r="C2760" s="3" t="s">
        <v>692</v>
      </c>
    </row>
    <row r="2761" spans="1:3" ht="15" x14ac:dyDescent="0.25">
      <c r="A2761" s="3" t="s">
        <v>91</v>
      </c>
      <c r="B2761" s="3" t="s">
        <v>691</v>
      </c>
      <c r="C2761" s="3" t="s">
        <v>692</v>
      </c>
    </row>
    <row r="2762" spans="1:3" ht="15" x14ac:dyDescent="0.25">
      <c r="A2762" s="3" t="s">
        <v>92</v>
      </c>
      <c r="B2762" s="3" t="s">
        <v>691</v>
      </c>
      <c r="C2762" s="3" t="s">
        <v>692</v>
      </c>
    </row>
    <row r="2763" spans="1:3" ht="15" x14ac:dyDescent="0.25">
      <c r="A2763" s="3" t="s">
        <v>94</v>
      </c>
      <c r="B2763" s="3" t="s">
        <v>691</v>
      </c>
      <c r="C2763" s="3" t="s">
        <v>692</v>
      </c>
    </row>
    <row r="2764" spans="1:3" ht="15" x14ac:dyDescent="0.25">
      <c r="A2764" s="3" t="s">
        <v>326</v>
      </c>
      <c r="B2764" s="3" t="s">
        <v>691</v>
      </c>
      <c r="C2764" s="3" t="s">
        <v>692</v>
      </c>
    </row>
    <row r="2765" spans="1:3" ht="15" x14ac:dyDescent="0.25">
      <c r="A2765" s="3" t="s">
        <v>227</v>
      </c>
      <c r="B2765" s="3" t="s">
        <v>691</v>
      </c>
      <c r="C2765" s="3" t="s">
        <v>692</v>
      </c>
    </row>
    <row r="2766" spans="1:3" ht="15" x14ac:dyDescent="0.25">
      <c r="A2766" s="3" t="s">
        <v>270</v>
      </c>
      <c r="B2766" s="3" t="s">
        <v>691</v>
      </c>
      <c r="C2766" s="3" t="s">
        <v>692</v>
      </c>
    </row>
    <row r="2767" spans="1:3" ht="15" x14ac:dyDescent="0.25">
      <c r="A2767" s="3" t="s">
        <v>355</v>
      </c>
      <c r="B2767" s="3" t="s">
        <v>691</v>
      </c>
      <c r="C2767" s="3" t="s">
        <v>692</v>
      </c>
    </row>
    <row r="2768" spans="1:3" ht="15" x14ac:dyDescent="0.25">
      <c r="A2768" s="3" t="s">
        <v>368</v>
      </c>
      <c r="B2768" s="3" t="s">
        <v>691</v>
      </c>
      <c r="C2768" s="3" t="s">
        <v>692</v>
      </c>
    </row>
    <row r="2769" spans="1:3" ht="15" x14ac:dyDescent="0.25">
      <c r="A2769" s="3" t="s">
        <v>273</v>
      </c>
      <c r="B2769" s="3" t="s">
        <v>691</v>
      </c>
      <c r="C2769" s="3" t="s">
        <v>692</v>
      </c>
    </row>
    <row r="2770" spans="1:3" ht="15" x14ac:dyDescent="0.25">
      <c r="A2770" s="3" t="s">
        <v>97</v>
      </c>
      <c r="B2770" s="3" t="s">
        <v>691</v>
      </c>
      <c r="C2770" s="3" t="s">
        <v>692</v>
      </c>
    </row>
    <row r="2771" spans="1:3" ht="15" x14ac:dyDescent="0.25">
      <c r="A2771" s="3" t="s">
        <v>328</v>
      </c>
      <c r="B2771" s="3" t="s">
        <v>691</v>
      </c>
      <c r="C2771" s="3" t="s">
        <v>692</v>
      </c>
    </row>
    <row r="2772" spans="1:3" ht="15" x14ac:dyDescent="0.25">
      <c r="A2772" s="3" t="s">
        <v>334</v>
      </c>
      <c r="B2772" s="3" t="s">
        <v>691</v>
      </c>
      <c r="C2772" s="3" t="s">
        <v>692</v>
      </c>
    </row>
    <row r="2773" spans="1:3" ht="15" x14ac:dyDescent="0.25">
      <c r="A2773" s="3" t="s">
        <v>181</v>
      </c>
      <c r="B2773" s="3" t="s">
        <v>691</v>
      </c>
      <c r="C2773" s="3" t="s">
        <v>692</v>
      </c>
    </row>
    <row r="2774" spans="1:3" ht="15" x14ac:dyDescent="0.25">
      <c r="A2774" s="3" t="s">
        <v>405</v>
      </c>
      <c r="B2774" s="3" t="s">
        <v>691</v>
      </c>
      <c r="C2774" s="3" t="s">
        <v>692</v>
      </c>
    </row>
    <row r="2775" spans="1:3" ht="15" x14ac:dyDescent="0.25">
      <c r="A2775" s="3" t="s">
        <v>182</v>
      </c>
      <c r="B2775" s="3" t="s">
        <v>691</v>
      </c>
      <c r="C2775" s="3" t="s">
        <v>692</v>
      </c>
    </row>
    <row r="2776" spans="1:3" ht="15" x14ac:dyDescent="0.25">
      <c r="A2776" s="3" t="s">
        <v>207</v>
      </c>
      <c r="B2776" s="3" t="s">
        <v>665</v>
      </c>
      <c r="C2776" s="3" t="s">
        <v>692</v>
      </c>
    </row>
    <row r="2777" spans="1:3" ht="15" x14ac:dyDescent="0.25">
      <c r="A2777" s="3" t="s">
        <v>4</v>
      </c>
      <c r="B2777" s="3" t="s">
        <v>665</v>
      </c>
      <c r="C2777" s="3" t="s">
        <v>692</v>
      </c>
    </row>
    <row r="2778" spans="1:3" ht="15" x14ac:dyDescent="0.25">
      <c r="A2778" s="3" t="s">
        <v>164</v>
      </c>
      <c r="B2778" s="3" t="s">
        <v>665</v>
      </c>
      <c r="C2778" s="3" t="s">
        <v>692</v>
      </c>
    </row>
    <row r="2779" spans="1:3" ht="15" x14ac:dyDescent="0.25">
      <c r="A2779" s="3" t="s">
        <v>189</v>
      </c>
      <c r="B2779" s="3" t="s">
        <v>665</v>
      </c>
      <c r="C2779" s="3" t="s">
        <v>692</v>
      </c>
    </row>
    <row r="2780" spans="1:3" ht="15" x14ac:dyDescent="0.25">
      <c r="A2780" s="3" t="s">
        <v>484</v>
      </c>
      <c r="B2780" s="3" t="s">
        <v>665</v>
      </c>
      <c r="C2780" s="3" t="s">
        <v>692</v>
      </c>
    </row>
    <row r="2781" spans="1:3" ht="15" x14ac:dyDescent="0.25">
      <c r="A2781" s="3" t="s">
        <v>106</v>
      </c>
      <c r="B2781" s="3" t="s">
        <v>665</v>
      </c>
      <c r="C2781" s="3" t="s">
        <v>692</v>
      </c>
    </row>
    <row r="2782" spans="1:3" ht="15" x14ac:dyDescent="0.25">
      <c r="A2782" s="3" t="s">
        <v>16</v>
      </c>
      <c r="B2782" s="3" t="s">
        <v>665</v>
      </c>
      <c r="C2782" s="3" t="s">
        <v>692</v>
      </c>
    </row>
    <row r="2783" spans="1:3" ht="15" x14ac:dyDescent="0.25">
      <c r="A2783" s="3" t="s">
        <v>214</v>
      </c>
      <c r="B2783" s="3" t="s">
        <v>665</v>
      </c>
      <c r="C2783" s="3" t="s">
        <v>692</v>
      </c>
    </row>
    <row r="2784" spans="1:3" ht="15" x14ac:dyDescent="0.25">
      <c r="A2784" s="3" t="s">
        <v>513</v>
      </c>
      <c r="B2784" s="3" t="s">
        <v>665</v>
      </c>
      <c r="C2784" s="3" t="s">
        <v>692</v>
      </c>
    </row>
    <row r="2785" spans="1:3" ht="15" x14ac:dyDescent="0.25">
      <c r="A2785" s="3" t="s">
        <v>242</v>
      </c>
      <c r="B2785" s="3" t="s">
        <v>665</v>
      </c>
      <c r="C2785" s="3" t="s">
        <v>692</v>
      </c>
    </row>
    <row r="2786" spans="1:3" ht="15" x14ac:dyDescent="0.25">
      <c r="A2786" s="3" t="s">
        <v>218</v>
      </c>
      <c r="B2786" s="3" t="s">
        <v>665</v>
      </c>
      <c r="C2786" s="3" t="s">
        <v>692</v>
      </c>
    </row>
    <row r="2787" spans="1:3" ht="15" x14ac:dyDescent="0.25">
      <c r="A2787" s="3" t="s">
        <v>466</v>
      </c>
      <c r="B2787" s="3" t="s">
        <v>665</v>
      </c>
      <c r="C2787" s="3" t="s">
        <v>692</v>
      </c>
    </row>
    <row r="2788" spans="1:3" ht="15" x14ac:dyDescent="0.25">
      <c r="A2788" s="3" t="s">
        <v>303</v>
      </c>
      <c r="B2788" s="3" t="s">
        <v>665</v>
      </c>
      <c r="C2788" s="3" t="s">
        <v>692</v>
      </c>
    </row>
    <row r="2789" spans="1:3" ht="15" x14ac:dyDescent="0.25">
      <c r="A2789" s="3" t="s">
        <v>107</v>
      </c>
      <c r="B2789" s="3" t="s">
        <v>665</v>
      </c>
      <c r="C2789" s="3" t="s">
        <v>692</v>
      </c>
    </row>
    <row r="2790" spans="1:3" ht="15" x14ac:dyDescent="0.25">
      <c r="A2790" s="3" t="s">
        <v>542</v>
      </c>
      <c r="B2790" s="3" t="s">
        <v>665</v>
      </c>
      <c r="C2790" s="3" t="s">
        <v>692</v>
      </c>
    </row>
    <row r="2791" spans="1:3" ht="15" x14ac:dyDescent="0.25">
      <c r="A2791" s="3" t="s">
        <v>255</v>
      </c>
      <c r="B2791" s="3" t="s">
        <v>665</v>
      </c>
      <c r="C2791" s="3" t="s">
        <v>692</v>
      </c>
    </row>
    <row r="2792" spans="1:3" ht="15" x14ac:dyDescent="0.25">
      <c r="A2792" s="3" t="s">
        <v>313</v>
      </c>
      <c r="B2792" s="3" t="s">
        <v>665</v>
      </c>
      <c r="C2792" s="3" t="s">
        <v>692</v>
      </c>
    </row>
    <row r="2793" spans="1:3" ht="15" x14ac:dyDescent="0.25">
      <c r="A2793" s="3" t="s">
        <v>221</v>
      </c>
      <c r="B2793" s="3" t="s">
        <v>665</v>
      </c>
      <c r="C2793" s="3" t="s">
        <v>692</v>
      </c>
    </row>
    <row r="2794" spans="1:3" ht="15" x14ac:dyDescent="0.25">
      <c r="A2794" s="3" t="s">
        <v>222</v>
      </c>
      <c r="B2794" s="3" t="s">
        <v>665</v>
      </c>
      <c r="C2794" s="3" t="s">
        <v>692</v>
      </c>
    </row>
    <row r="2795" spans="1:3" ht="15" x14ac:dyDescent="0.25">
      <c r="A2795" s="3" t="s">
        <v>351</v>
      </c>
      <c r="B2795" s="3" t="s">
        <v>665</v>
      </c>
      <c r="C2795" s="3" t="s">
        <v>692</v>
      </c>
    </row>
    <row r="2796" spans="1:3" ht="15" x14ac:dyDescent="0.25">
      <c r="A2796" s="3" t="s">
        <v>417</v>
      </c>
      <c r="B2796" s="3" t="s">
        <v>665</v>
      </c>
      <c r="C2796" s="3" t="s">
        <v>692</v>
      </c>
    </row>
    <row r="2797" spans="1:3" ht="15" x14ac:dyDescent="0.25">
      <c r="A2797" s="3" t="s">
        <v>419</v>
      </c>
      <c r="B2797" s="3" t="s">
        <v>665</v>
      </c>
      <c r="C2797" s="3" t="s">
        <v>692</v>
      </c>
    </row>
    <row r="2798" spans="1:3" ht="15" x14ac:dyDescent="0.25">
      <c r="A2798" s="3" t="s">
        <v>341</v>
      </c>
      <c r="B2798" s="3" t="s">
        <v>665</v>
      </c>
      <c r="C2798" s="3" t="s">
        <v>692</v>
      </c>
    </row>
    <row r="2799" spans="1:3" ht="15" x14ac:dyDescent="0.25">
      <c r="A2799" s="3" t="s">
        <v>337</v>
      </c>
      <c r="B2799" s="3" t="s">
        <v>665</v>
      </c>
      <c r="C2799" s="3" t="s">
        <v>692</v>
      </c>
    </row>
    <row r="2800" spans="1:3" ht="15" x14ac:dyDescent="0.25">
      <c r="A2800" s="3" t="s">
        <v>154</v>
      </c>
      <c r="B2800" s="3" t="s">
        <v>665</v>
      </c>
      <c r="C2800" s="3" t="s">
        <v>692</v>
      </c>
    </row>
    <row r="2801" spans="1:3" ht="15" x14ac:dyDescent="0.25">
      <c r="A2801" s="3" t="s">
        <v>471</v>
      </c>
      <c r="B2801" s="3" t="s">
        <v>665</v>
      </c>
      <c r="C2801" s="3" t="s">
        <v>692</v>
      </c>
    </row>
    <row r="2802" spans="1:3" ht="15" x14ac:dyDescent="0.25">
      <c r="A2802" s="3" t="s">
        <v>262</v>
      </c>
      <c r="B2802" s="3" t="s">
        <v>665</v>
      </c>
      <c r="C2802" s="3" t="s">
        <v>692</v>
      </c>
    </row>
    <row r="2803" spans="1:3" ht="15" x14ac:dyDescent="0.25">
      <c r="A2803" s="3" t="s">
        <v>78</v>
      </c>
      <c r="B2803" s="3" t="s">
        <v>665</v>
      </c>
      <c r="C2803" s="3" t="s">
        <v>692</v>
      </c>
    </row>
    <row r="2804" spans="1:3" ht="15" x14ac:dyDescent="0.25">
      <c r="A2804" s="3" t="s">
        <v>344</v>
      </c>
      <c r="B2804" s="3" t="s">
        <v>665</v>
      </c>
      <c r="C2804" s="3" t="s">
        <v>692</v>
      </c>
    </row>
    <row r="2805" spans="1:3" ht="15" x14ac:dyDescent="0.25">
      <c r="A2805" s="3" t="s">
        <v>83</v>
      </c>
      <c r="B2805" s="3" t="s">
        <v>665</v>
      </c>
      <c r="C2805" s="3" t="s">
        <v>692</v>
      </c>
    </row>
    <row r="2806" spans="1:3" ht="15" x14ac:dyDescent="0.25">
      <c r="A2806" s="3" t="s">
        <v>86</v>
      </c>
      <c r="B2806" s="3" t="s">
        <v>665</v>
      </c>
      <c r="C2806" s="3" t="s">
        <v>692</v>
      </c>
    </row>
    <row r="2807" spans="1:3" ht="15" x14ac:dyDescent="0.25">
      <c r="A2807" s="3" t="s">
        <v>87</v>
      </c>
      <c r="B2807" s="3" t="s">
        <v>665</v>
      </c>
      <c r="C2807" s="3" t="s">
        <v>692</v>
      </c>
    </row>
    <row r="2808" spans="1:3" ht="15" x14ac:dyDescent="0.25">
      <c r="A2808" s="3" t="s">
        <v>88</v>
      </c>
      <c r="B2808" s="3" t="s">
        <v>665</v>
      </c>
      <c r="C2808" s="3" t="s">
        <v>692</v>
      </c>
    </row>
    <row r="2809" spans="1:3" ht="15" x14ac:dyDescent="0.25">
      <c r="A2809" s="3" t="s">
        <v>89</v>
      </c>
      <c r="B2809" s="3" t="s">
        <v>665</v>
      </c>
      <c r="C2809" s="3" t="s">
        <v>692</v>
      </c>
    </row>
    <row r="2810" spans="1:3" ht="15" x14ac:dyDescent="0.25">
      <c r="A2810" s="3" t="s">
        <v>160</v>
      </c>
      <c r="B2810" s="3" t="s">
        <v>665</v>
      </c>
      <c r="C2810" s="3" t="s">
        <v>692</v>
      </c>
    </row>
    <row r="2811" spans="1:3" ht="15" x14ac:dyDescent="0.25">
      <c r="A2811" s="3" t="s">
        <v>92</v>
      </c>
      <c r="B2811" s="3" t="s">
        <v>665</v>
      </c>
      <c r="C2811" s="3" t="s">
        <v>692</v>
      </c>
    </row>
    <row r="2812" spans="1:3" ht="15" x14ac:dyDescent="0.25">
      <c r="A2812" s="3" t="s">
        <v>118</v>
      </c>
      <c r="B2812" s="3" t="s">
        <v>665</v>
      </c>
      <c r="C2812" s="3" t="s">
        <v>692</v>
      </c>
    </row>
    <row r="2813" spans="1:3" ht="15" x14ac:dyDescent="0.25">
      <c r="A2813" s="3" t="s">
        <v>660</v>
      </c>
      <c r="B2813" s="3" t="s">
        <v>665</v>
      </c>
      <c r="C2813" s="3" t="s">
        <v>692</v>
      </c>
    </row>
    <row r="2814" spans="1:3" ht="15" x14ac:dyDescent="0.25">
      <c r="A2814" s="3" t="s">
        <v>245</v>
      </c>
      <c r="B2814" s="3" t="s">
        <v>665</v>
      </c>
      <c r="C2814" s="3" t="s">
        <v>692</v>
      </c>
    </row>
    <row r="2815" spans="1:3" ht="15" x14ac:dyDescent="0.25">
      <c r="A2815" s="3" t="s">
        <v>163</v>
      </c>
      <c r="B2815" s="3" t="s">
        <v>665</v>
      </c>
      <c r="C2815" s="3" t="s">
        <v>692</v>
      </c>
    </row>
    <row r="2816" spans="1:3" ht="15" x14ac:dyDescent="0.25">
      <c r="A2816" s="3" t="s">
        <v>331</v>
      </c>
      <c r="B2816" s="3" t="s">
        <v>665</v>
      </c>
      <c r="C2816" s="3" t="s">
        <v>692</v>
      </c>
    </row>
    <row r="2817" spans="1:3" ht="15" x14ac:dyDescent="0.25">
      <c r="A2817" s="3" t="s">
        <v>669</v>
      </c>
      <c r="B2817" s="3" t="s">
        <v>665</v>
      </c>
      <c r="C2817" s="3" t="s">
        <v>692</v>
      </c>
    </row>
    <row r="2818" spans="1:3" ht="15" x14ac:dyDescent="0.25">
      <c r="A2818" s="3" t="s">
        <v>649</v>
      </c>
      <c r="B2818" s="3" t="s">
        <v>665</v>
      </c>
      <c r="C2818" s="3" t="s">
        <v>692</v>
      </c>
    </row>
    <row r="2819" spans="1:3" ht="15" x14ac:dyDescent="0.25">
      <c r="A2819" s="3" t="s">
        <v>230</v>
      </c>
      <c r="B2819" s="3" t="s">
        <v>665</v>
      </c>
      <c r="C2819" s="3" t="s">
        <v>692</v>
      </c>
    </row>
    <row r="2820" spans="1:3" ht="15" x14ac:dyDescent="0.25">
      <c r="A2820" s="3" t="s">
        <v>119</v>
      </c>
      <c r="B2820" s="3" t="s">
        <v>665</v>
      </c>
      <c r="C2820" s="3" t="s">
        <v>692</v>
      </c>
    </row>
    <row r="2821" spans="1:3" ht="15" x14ac:dyDescent="0.25">
      <c r="A2821" s="3" t="s">
        <v>102</v>
      </c>
      <c r="B2821" s="3" t="s">
        <v>665</v>
      </c>
      <c r="C2821" s="3" t="s">
        <v>692</v>
      </c>
    </row>
    <row r="2822" spans="1:3" ht="15" x14ac:dyDescent="0.25">
      <c r="A2822" s="3" t="s">
        <v>182</v>
      </c>
      <c r="B2822" s="3" t="s">
        <v>665</v>
      </c>
      <c r="C2822" s="3" t="s">
        <v>692</v>
      </c>
    </row>
    <row r="2823" spans="1:3" ht="15" x14ac:dyDescent="0.25">
      <c r="A2823" s="3" t="s">
        <v>131</v>
      </c>
      <c r="B2823" s="3" t="s">
        <v>665</v>
      </c>
      <c r="C2823" s="3" t="s">
        <v>692</v>
      </c>
    </row>
    <row r="2824" spans="1:3" ht="15" x14ac:dyDescent="0.25">
      <c r="A2824" s="3" t="s">
        <v>122</v>
      </c>
      <c r="B2824" s="3" t="s">
        <v>665</v>
      </c>
      <c r="C2824" s="3" t="s">
        <v>692</v>
      </c>
    </row>
    <row r="2825" spans="1:3" ht="15" x14ac:dyDescent="0.25">
      <c r="A2825" s="3" t="s">
        <v>614</v>
      </c>
      <c r="B2825" s="3" t="s">
        <v>661</v>
      </c>
      <c r="C2825" s="3" t="s">
        <v>692</v>
      </c>
    </row>
    <row r="2826" spans="1:3" ht="15" x14ac:dyDescent="0.25">
      <c r="A2826" s="3" t="s">
        <v>205</v>
      </c>
      <c r="B2826" s="3" t="s">
        <v>661</v>
      </c>
      <c r="C2826" s="3" t="s">
        <v>692</v>
      </c>
    </row>
    <row r="2827" spans="1:3" ht="15" x14ac:dyDescent="0.25">
      <c r="A2827" s="3" t="s">
        <v>233</v>
      </c>
      <c r="B2827" s="3" t="s">
        <v>661</v>
      </c>
      <c r="C2827" s="3" t="s">
        <v>692</v>
      </c>
    </row>
    <row r="2828" spans="1:3" ht="15" x14ac:dyDescent="0.25">
      <c r="A2828" s="3" t="s">
        <v>281</v>
      </c>
      <c r="B2828" s="3" t="s">
        <v>661</v>
      </c>
      <c r="C2828" s="3" t="s">
        <v>692</v>
      </c>
    </row>
    <row r="2829" spans="1:3" ht="15" x14ac:dyDescent="0.25">
      <c r="A2829" s="3" t="s">
        <v>103</v>
      </c>
      <c r="B2829" s="3" t="s">
        <v>661</v>
      </c>
      <c r="C2829" s="3" t="s">
        <v>692</v>
      </c>
    </row>
    <row r="2830" spans="1:3" ht="15" x14ac:dyDescent="0.25">
      <c r="A2830" s="3" t="s">
        <v>237</v>
      </c>
      <c r="B2830" s="3" t="s">
        <v>661</v>
      </c>
      <c r="C2830" s="3" t="s">
        <v>692</v>
      </c>
    </row>
    <row r="2831" spans="1:3" ht="15" x14ac:dyDescent="0.25">
      <c r="A2831" s="3" t="s">
        <v>359</v>
      </c>
      <c r="B2831" s="3" t="s">
        <v>661</v>
      </c>
      <c r="C2831" s="3" t="s">
        <v>692</v>
      </c>
    </row>
    <row r="2832" spans="1:3" ht="15" x14ac:dyDescent="0.25">
      <c r="A2832" s="3" t="s">
        <v>241</v>
      </c>
      <c r="B2832" s="3" t="s">
        <v>661</v>
      </c>
      <c r="C2832" s="3" t="s">
        <v>692</v>
      </c>
    </row>
    <row r="2833" spans="1:3" ht="15" x14ac:dyDescent="0.25">
      <c r="A2833" s="3" t="s">
        <v>25</v>
      </c>
      <c r="B2833" s="3" t="s">
        <v>661</v>
      </c>
      <c r="C2833" s="3" t="s">
        <v>692</v>
      </c>
    </row>
    <row r="2834" spans="1:3" ht="15" x14ac:dyDescent="0.25">
      <c r="A2834" s="3" t="s">
        <v>135</v>
      </c>
      <c r="B2834" s="3" t="s">
        <v>661</v>
      </c>
      <c r="C2834" s="3" t="s">
        <v>692</v>
      </c>
    </row>
    <row r="2835" spans="1:3" ht="15" x14ac:dyDescent="0.25">
      <c r="A2835" s="3" t="s">
        <v>244</v>
      </c>
      <c r="B2835" s="3" t="s">
        <v>661</v>
      </c>
      <c r="C2835" s="3" t="s">
        <v>692</v>
      </c>
    </row>
    <row r="2836" spans="1:3" ht="15" x14ac:dyDescent="0.25">
      <c r="A2836" s="3" t="s">
        <v>663</v>
      </c>
      <c r="B2836" s="3" t="s">
        <v>661</v>
      </c>
      <c r="C2836" s="3" t="s">
        <v>692</v>
      </c>
    </row>
    <row r="2837" spans="1:3" ht="15" x14ac:dyDescent="0.25">
      <c r="A2837" s="3" t="s">
        <v>31</v>
      </c>
      <c r="B2837" s="3" t="s">
        <v>661</v>
      </c>
      <c r="C2837" s="3" t="s">
        <v>692</v>
      </c>
    </row>
    <row r="2838" spans="1:3" ht="15" x14ac:dyDescent="0.25">
      <c r="A2838" s="3" t="s">
        <v>492</v>
      </c>
      <c r="B2838" s="3" t="s">
        <v>661</v>
      </c>
      <c r="C2838" s="3" t="s">
        <v>692</v>
      </c>
    </row>
    <row r="2839" spans="1:3" ht="15" x14ac:dyDescent="0.25">
      <c r="A2839" s="3" t="s">
        <v>449</v>
      </c>
      <c r="B2839" s="3" t="s">
        <v>661</v>
      </c>
      <c r="C2839" s="3" t="s">
        <v>692</v>
      </c>
    </row>
    <row r="2840" spans="1:3" ht="15" x14ac:dyDescent="0.25">
      <c r="A2840" s="3" t="s">
        <v>301</v>
      </c>
      <c r="B2840" s="3" t="s">
        <v>661</v>
      </c>
      <c r="C2840" s="3" t="s">
        <v>692</v>
      </c>
    </row>
    <row r="2841" spans="1:3" ht="15" x14ac:dyDescent="0.25">
      <c r="A2841" s="3" t="s">
        <v>350</v>
      </c>
      <c r="B2841" s="3" t="s">
        <v>661</v>
      </c>
      <c r="C2841" s="3" t="s">
        <v>692</v>
      </c>
    </row>
    <row r="2842" spans="1:3" ht="15" x14ac:dyDescent="0.25">
      <c r="A2842" s="3" t="s">
        <v>253</v>
      </c>
      <c r="B2842" s="3" t="s">
        <v>661</v>
      </c>
      <c r="C2842" s="3" t="s">
        <v>692</v>
      </c>
    </row>
    <row r="2843" spans="1:3" ht="15" x14ac:dyDescent="0.25">
      <c r="A2843" s="3" t="s">
        <v>195</v>
      </c>
      <c r="B2843" s="3" t="s">
        <v>661</v>
      </c>
      <c r="C2843" s="3" t="s">
        <v>692</v>
      </c>
    </row>
    <row r="2844" spans="1:3" ht="15" x14ac:dyDescent="0.25">
      <c r="A2844" s="3" t="s">
        <v>254</v>
      </c>
      <c r="B2844" s="3" t="s">
        <v>661</v>
      </c>
      <c r="C2844" s="3" t="s">
        <v>692</v>
      </c>
    </row>
    <row r="2845" spans="1:3" ht="15" x14ac:dyDescent="0.25">
      <c r="A2845" s="3" t="s">
        <v>219</v>
      </c>
      <c r="B2845" s="3" t="s">
        <v>661</v>
      </c>
      <c r="C2845" s="3" t="s">
        <v>692</v>
      </c>
    </row>
    <row r="2846" spans="1:3" ht="15" x14ac:dyDescent="0.25">
      <c r="A2846" s="3" t="s">
        <v>197</v>
      </c>
      <c r="B2846" s="3" t="s">
        <v>661</v>
      </c>
      <c r="C2846" s="3" t="s">
        <v>692</v>
      </c>
    </row>
    <row r="2847" spans="1:3" ht="15" x14ac:dyDescent="0.25">
      <c r="A2847" s="3" t="s">
        <v>220</v>
      </c>
      <c r="B2847" s="3" t="s">
        <v>661</v>
      </c>
      <c r="C2847" s="3" t="s">
        <v>692</v>
      </c>
    </row>
    <row r="2848" spans="1:3" ht="15" x14ac:dyDescent="0.25">
      <c r="A2848" s="3" t="s">
        <v>175</v>
      </c>
      <c r="B2848" s="3" t="s">
        <v>661</v>
      </c>
      <c r="C2848" s="3" t="s">
        <v>692</v>
      </c>
    </row>
    <row r="2849" spans="1:3" ht="15" x14ac:dyDescent="0.25">
      <c r="A2849" s="3" t="s">
        <v>364</v>
      </c>
      <c r="B2849" s="3" t="s">
        <v>661</v>
      </c>
      <c r="C2849" s="3" t="s">
        <v>692</v>
      </c>
    </row>
    <row r="2850" spans="1:3" ht="15" x14ac:dyDescent="0.25">
      <c r="A2850" s="3" t="s">
        <v>454</v>
      </c>
      <c r="B2850" s="3" t="s">
        <v>661</v>
      </c>
      <c r="C2850" s="3" t="s">
        <v>692</v>
      </c>
    </row>
    <row r="2851" spans="1:3" ht="15" x14ac:dyDescent="0.25">
      <c r="A2851" s="3" t="s">
        <v>260</v>
      </c>
      <c r="B2851" s="3" t="s">
        <v>661</v>
      </c>
      <c r="C2851" s="3" t="s">
        <v>692</v>
      </c>
    </row>
    <row r="2852" spans="1:3" ht="15" x14ac:dyDescent="0.25">
      <c r="A2852" s="3" t="s">
        <v>134</v>
      </c>
      <c r="B2852" s="3" t="s">
        <v>661</v>
      </c>
      <c r="C2852" s="3" t="s">
        <v>692</v>
      </c>
    </row>
    <row r="2853" spans="1:3" ht="15" x14ac:dyDescent="0.25">
      <c r="A2853" s="3" t="s">
        <v>62</v>
      </c>
      <c r="B2853" s="3" t="s">
        <v>661</v>
      </c>
      <c r="C2853" s="3" t="s">
        <v>692</v>
      </c>
    </row>
    <row r="2854" spans="1:3" ht="15" x14ac:dyDescent="0.25">
      <c r="A2854" s="3" t="s">
        <v>232</v>
      </c>
      <c r="B2854" s="3" t="s">
        <v>661</v>
      </c>
      <c r="C2854" s="3" t="s">
        <v>692</v>
      </c>
    </row>
    <row r="2855" spans="1:3" ht="15" x14ac:dyDescent="0.25">
      <c r="A2855" s="3" t="s">
        <v>201</v>
      </c>
      <c r="B2855" s="3" t="s">
        <v>661</v>
      </c>
      <c r="C2855" s="3" t="s">
        <v>692</v>
      </c>
    </row>
    <row r="2856" spans="1:3" ht="15" x14ac:dyDescent="0.25">
      <c r="A2856" s="3" t="s">
        <v>114</v>
      </c>
      <c r="B2856" s="3" t="s">
        <v>661</v>
      </c>
      <c r="C2856" s="3" t="s">
        <v>692</v>
      </c>
    </row>
    <row r="2857" spans="1:3" ht="15" x14ac:dyDescent="0.25">
      <c r="A2857" s="3" t="s">
        <v>116</v>
      </c>
      <c r="B2857" s="3" t="s">
        <v>661</v>
      </c>
      <c r="C2857" s="3" t="s">
        <v>692</v>
      </c>
    </row>
    <row r="2858" spans="1:3" ht="15" x14ac:dyDescent="0.25">
      <c r="A2858" s="3" t="s">
        <v>117</v>
      </c>
      <c r="B2858" s="3" t="s">
        <v>661</v>
      </c>
      <c r="C2858" s="3" t="s">
        <v>692</v>
      </c>
    </row>
    <row r="2859" spans="1:3" ht="15" x14ac:dyDescent="0.25">
      <c r="A2859" s="3" t="s">
        <v>383</v>
      </c>
      <c r="B2859" s="3" t="s">
        <v>661</v>
      </c>
      <c r="C2859" s="3" t="s">
        <v>692</v>
      </c>
    </row>
    <row r="2860" spans="1:3" ht="15" x14ac:dyDescent="0.25">
      <c r="A2860" s="3" t="s">
        <v>272</v>
      </c>
      <c r="B2860" s="3" t="s">
        <v>661</v>
      </c>
      <c r="C2860" s="3" t="s">
        <v>692</v>
      </c>
    </row>
    <row r="2861" spans="1:3" ht="15" x14ac:dyDescent="0.25">
      <c r="A2861" s="3" t="s">
        <v>203</v>
      </c>
      <c r="B2861" s="3" t="s">
        <v>661</v>
      </c>
      <c r="C2861" s="3" t="s">
        <v>692</v>
      </c>
    </row>
    <row r="2862" spans="1:3" ht="15" x14ac:dyDescent="0.25">
      <c r="A2862" s="3" t="s">
        <v>537</v>
      </c>
      <c r="B2862" s="3" t="s">
        <v>661</v>
      </c>
      <c r="C2862" s="3" t="s">
        <v>692</v>
      </c>
    </row>
    <row r="2863" spans="1:3" ht="15" x14ac:dyDescent="0.25">
      <c r="A2863" s="3" t="s">
        <v>273</v>
      </c>
      <c r="B2863" s="3" t="s">
        <v>661</v>
      </c>
      <c r="C2863" s="3" t="s">
        <v>692</v>
      </c>
    </row>
    <row r="2864" spans="1:3" ht="15" x14ac:dyDescent="0.25">
      <c r="A2864" s="3" t="s">
        <v>539</v>
      </c>
      <c r="B2864" s="3" t="s">
        <v>661</v>
      </c>
      <c r="C2864" s="3" t="s">
        <v>692</v>
      </c>
    </row>
    <row r="2865" spans="1:3" ht="15" x14ac:dyDescent="0.25">
      <c r="A2865" s="3" t="s">
        <v>208</v>
      </c>
      <c r="B2865" s="3" t="s">
        <v>661</v>
      </c>
      <c r="C2865" s="3" t="s">
        <v>692</v>
      </c>
    </row>
    <row r="2866" spans="1:3" ht="15" x14ac:dyDescent="0.25">
      <c r="A2866" s="3" t="s">
        <v>98</v>
      </c>
      <c r="B2866" s="3" t="s">
        <v>661</v>
      </c>
      <c r="C2866" s="3" t="s">
        <v>692</v>
      </c>
    </row>
    <row r="2867" spans="1:3" ht="15" x14ac:dyDescent="0.25">
      <c r="A2867" s="3" t="s">
        <v>185</v>
      </c>
      <c r="B2867" s="3" t="s">
        <v>656</v>
      </c>
      <c r="C2867" s="3" t="s">
        <v>692</v>
      </c>
    </row>
    <row r="2868" spans="1:3" ht="15" x14ac:dyDescent="0.25">
      <c r="A2868" s="3" t="s">
        <v>188</v>
      </c>
      <c r="B2868" s="3" t="s">
        <v>656</v>
      </c>
      <c r="C2868" s="3" t="s">
        <v>692</v>
      </c>
    </row>
    <row r="2869" spans="1:3" ht="15" x14ac:dyDescent="0.25">
      <c r="A2869" s="3" t="s">
        <v>12</v>
      </c>
      <c r="B2869" s="3" t="s">
        <v>656</v>
      </c>
      <c r="C2869" s="3" t="s">
        <v>692</v>
      </c>
    </row>
    <row r="2870" spans="1:3" ht="15" x14ac:dyDescent="0.25">
      <c r="A2870" s="3" t="s">
        <v>658</v>
      </c>
      <c r="B2870" s="3" t="s">
        <v>656</v>
      </c>
      <c r="C2870" s="3" t="s">
        <v>692</v>
      </c>
    </row>
    <row r="2871" spans="1:3" ht="15" x14ac:dyDescent="0.25">
      <c r="A2871" s="3" t="s">
        <v>288</v>
      </c>
      <c r="B2871" s="3" t="s">
        <v>656</v>
      </c>
      <c r="C2871" s="3" t="s">
        <v>692</v>
      </c>
    </row>
    <row r="2872" spans="1:3" ht="15" x14ac:dyDescent="0.25">
      <c r="A2872" s="3" t="s">
        <v>349</v>
      </c>
      <c r="B2872" s="3" t="s">
        <v>656</v>
      </c>
      <c r="C2872" s="3" t="s">
        <v>692</v>
      </c>
    </row>
    <row r="2873" spans="1:3" ht="15" x14ac:dyDescent="0.25">
      <c r="A2873" s="3" t="s">
        <v>486</v>
      </c>
      <c r="B2873" s="3" t="s">
        <v>656</v>
      </c>
      <c r="C2873" s="3" t="s">
        <v>692</v>
      </c>
    </row>
    <row r="2874" spans="1:3" ht="15" x14ac:dyDescent="0.25">
      <c r="A2874" s="3" t="s">
        <v>291</v>
      </c>
      <c r="B2874" s="3" t="s">
        <v>656</v>
      </c>
      <c r="C2874" s="3" t="s">
        <v>692</v>
      </c>
    </row>
    <row r="2875" spans="1:3" ht="15" x14ac:dyDescent="0.25">
      <c r="A2875" s="3" t="s">
        <v>536</v>
      </c>
      <c r="B2875" s="3" t="s">
        <v>656</v>
      </c>
      <c r="C2875" s="3" t="s">
        <v>692</v>
      </c>
    </row>
    <row r="2876" spans="1:3" ht="15" x14ac:dyDescent="0.25">
      <c r="A2876" s="3" t="s">
        <v>378</v>
      </c>
      <c r="B2876" s="3" t="s">
        <v>656</v>
      </c>
      <c r="C2876" s="3" t="s">
        <v>692</v>
      </c>
    </row>
    <row r="2877" spans="1:3" ht="15" x14ac:dyDescent="0.25">
      <c r="A2877" s="3" t="s">
        <v>389</v>
      </c>
      <c r="B2877" s="3" t="s">
        <v>656</v>
      </c>
      <c r="C2877" s="3" t="s">
        <v>692</v>
      </c>
    </row>
    <row r="2878" spans="1:3" ht="15" x14ac:dyDescent="0.25">
      <c r="A2878" s="3" t="s">
        <v>217</v>
      </c>
      <c r="B2878" s="3" t="s">
        <v>656</v>
      </c>
      <c r="C2878" s="3" t="s">
        <v>692</v>
      </c>
    </row>
    <row r="2879" spans="1:3" ht="15" x14ac:dyDescent="0.25">
      <c r="A2879" s="3" t="s">
        <v>194</v>
      </c>
      <c r="B2879" s="3" t="s">
        <v>656</v>
      </c>
      <c r="C2879" s="3" t="s">
        <v>692</v>
      </c>
    </row>
    <row r="2880" spans="1:3" ht="15" x14ac:dyDescent="0.25">
      <c r="A2880" s="3" t="s">
        <v>195</v>
      </c>
      <c r="B2880" s="3" t="s">
        <v>656</v>
      </c>
      <c r="C2880" s="3" t="s">
        <v>692</v>
      </c>
    </row>
    <row r="2881" spans="1:3" ht="15" x14ac:dyDescent="0.25">
      <c r="A2881" s="3" t="s">
        <v>379</v>
      </c>
      <c r="B2881" s="3" t="s">
        <v>656</v>
      </c>
      <c r="C2881" s="3" t="s">
        <v>692</v>
      </c>
    </row>
    <row r="2882" spans="1:3" ht="15" x14ac:dyDescent="0.25">
      <c r="A2882" s="3" t="s">
        <v>380</v>
      </c>
      <c r="B2882" s="3" t="s">
        <v>656</v>
      </c>
      <c r="C2882" s="3" t="s">
        <v>692</v>
      </c>
    </row>
    <row r="2883" spans="1:3" ht="15" x14ac:dyDescent="0.25">
      <c r="A2883" s="3" t="s">
        <v>305</v>
      </c>
      <c r="B2883" s="3" t="s">
        <v>656</v>
      </c>
      <c r="C2883" s="3" t="s">
        <v>692</v>
      </c>
    </row>
    <row r="2884" spans="1:3" ht="15" x14ac:dyDescent="0.25">
      <c r="A2884" s="3" t="s">
        <v>310</v>
      </c>
      <c r="B2884" s="3" t="s">
        <v>656</v>
      </c>
      <c r="C2884" s="3" t="s">
        <v>692</v>
      </c>
    </row>
    <row r="2885" spans="1:3" ht="15" x14ac:dyDescent="0.25">
      <c r="A2885" s="3" t="s">
        <v>311</v>
      </c>
      <c r="B2885" s="3" t="s">
        <v>656</v>
      </c>
      <c r="C2885" s="3" t="s">
        <v>692</v>
      </c>
    </row>
    <row r="2886" spans="1:3" ht="15" x14ac:dyDescent="0.25">
      <c r="A2886" s="3" t="s">
        <v>199</v>
      </c>
      <c r="B2886" s="3" t="s">
        <v>656</v>
      </c>
      <c r="C2886" s="3" t="s">
        <v>692</v>
      </c>
    </row>
    <row r="2887" spans="1:3" ht="15" x14ac:dyDescent="0.25">
      <c r="A2887" s="3" t="s">
        <v>223</v>
      </c>
      <c r="B2887" s="3" t="s">
        <v>656</v>
      </c>
      <c r="C2887" s="3" t="s">
        <v>692</v>
      </c>
    </row>
    <row r="2888" spans="1:3" ht="15" x14ac:dyDescent="0.25">
      <c r="A2888" s="3" t="s">
        <v>55</v>
      </c>
      <c r="B2888" s="3" t="s">
        <v>656</v>
      </c>
      <c r="C2888" s="3" t="s">
        <v>692</v>
      </c>
    </row>
    <row r="2889" spans="1:3" ht="15" x14ac:dyDescent="0.25">
      <c r="A2889" s="3" t="s">
        <v>108</v>
      </c>
      <c r="B2889" s="3" t="s">
        <v>656</v>
      </c>
      <c r="C2889" s="3" t="s">
        <v>692</v>
      </c>
    </row>
    <row r="2890" spans="1:3" ht="15" x14ac:dyDescent="0.25">
      <c r="A2890" s="3" t="s">
        <v>112</v>
      </c>
      <c r="B2890" s="3" t="s">
        <v>656</v>
      </c>
      <c r="C2890" s="3" t="s">
        <v>692</v>
      </c>
    </row>
    <row r="2891" spans="1:3" ht="15" x14ac:dyDescent="0.25">
      <c r="A2891" s="3" t="s">
        <v>527</v>
      </c>
      <c r="B2891" s="3" t="s">
        <v>656</v>
      </c>
      <c r="C2891" s="3" t="s">
        <v>692</v>
      </c>
    </row>
    <row r="2892" spans="1:3" ht="15" x14ac:dyDescent="0.25">
      <c r="A2892" s="3" t="s">
        <v>72</v>
      </c>
      <c r="B2892" s="3" t="s">
        <v>656</v>
      </c>
      <c r="C2892" s="3" t="s">
        <v>692</v>
      </c>
    </row>
    <row r="2893" spans="1:3" ht="15" x14ac:dyDescent="0.25">
      <c r="A2893" s="3" t="s">
        <v>225</v>
      </c>
      <c r="B2893" s="3" t="s">
        <v>656</v>
      </c>
      <c r="C2893" s="3" t="s">
        <v>692</v>
      </c>
    </row>
    <row r="2894" spans="1:3" ht="15" x14ac:dyDescent="0.25">
      <c r="A2894" s="3" t="s">
        <v>268</v>
      </c>
      <c r="B2894" s="3" t="s">
        <v>656</v>
      </c>
      <c r="C2894" s="3" t="s">
        <v>692</v>
      </c>
    </row>
    <row r="2895" spans="1:3" ht="15" x14ac:dyDescent="0.25">
      <c r="A2895" s="3" t="s">
        <v>270</v>
      </c>
      <c r="B2895" s="3" t="s">
        <v>656</v>
      </c>
      <c r="C2895" s="3" t="s">
        <v>692</v>
      </c>
    </row>
    <row r="2896" spans="1:3" ht="15" x14ac:dyDescent="0.25">
      <c r="A2896" s="3" t="s">
        <v>327</v>
      </c>
      <c r="B2896" s="3" t="s">
        <v>656</v>
      </c>
      <c r="C2896" s="3" t="s">
        <v>692</v>
      </c>
    </row>
    <row r="2897" spans="1:3" ht="15" x14ac:dyDescent="0.25">
      <c r="A2897" s="3" t="s">
        <v>376</v>
      </c>
      <c r="B2897" s="3" t="s">
        <v>656</v>
      </c>
      <c r="C2897" s="3" t="s">
        <v>692</v>
      </c>
    </row>
    <row r="2898" spans="1:3" ht="15" x14ac:dyDescent="0.25">
      <c r="A2898" s="3" t="s">
        <v>103</v>
      </c>
      <c r="B2898" s="3" t="s">
        <v>651</v>
      </c>
      <c r="C2898" s="3" t="s">
        <v>692</v>
      </c>
    </row>
    <row r="2899" spans="1:3" ht="15" x14ac:dyDescent="0.25">
      <c r="A2899" s="3" t="s">
        <v>359</v>
      </c>
      <c r="B2899" s="3" t="s">
        <v>651</v>
      </c>
      <c r="C2899" s="3" t="s">
        <v>692</v>
      </c>
    </row>
    <row r="2900" spans="1:3" ht="15" x14ac:dyDescent="0.25">
      <c r="A2900" s="3" t="s">
        <v>187</v>
      </c>
      <c r="B2900" s="3" t="s">
        <v>651</v>
      </c>
      <c r="C2900" s="3" t="s">
        <v>692</v>
      </c>
    </row>
    <row r="2901" spans="1:3" ht="15" x14ac:dyDescent="0.25">
      <c r="A2901" s="3" t="s">
        <v>286</v>
      </c>
      <c r="B2901" s="3" t="s">
        <v>651</v>
      </c>
      <c r="C2901" s="3" t="s">
        <v>692</v>
      </c>
    </row>
    <row r="2902" spans="1:3" ht="15" x14ac:dyDescent="0.25">
      <c r="A2902" s="3" t="s">
        <v>190</v>
      </c>
      <c r="B2902" s="3" t="s">
        <v>651</v>
      </c>
      <c r="C2902" s="3" t="s">
        <v>692</v>
      </c>
    </row>
    <row r="2903" spans="1:3" ht="15" x14ac:dyDescent="0.25">
      <c r="A2903" s="3" t="s">
        <v>18</v>
      </c>
      <c r="B2903" s="3" t="s">
        <v>651</v>
      </c>
      <c r="C2903" s="3" t="s">
        <v>692</v>
      </c>
    </row>
    <row r="2904" spans="1:3" ht="15" x14ac:dyDescent="0.25">
      <c r="A2904" s="3" t="s">
        <v>20</v>
      </c>
      <c r="B2904" s="3" t="s">
        <v>651</v>
      </c>
      <c r="C2904" s="3" t="s">
        <v>692</v>
      </c>
    </row>
    <row r="2905" spans="1:3" ht="15" x14ac:dyDescent="0.25">
      <c r="A2905" s="3" t="s">
        <v>169</v>
      </c>
      <c r="B2905" s="3" t="s">
        <v>651</v>
      </c>
      <c r="C2905" s="3" t="s">
        <v>692</v>
      </c>
    </row>
    <row r="2906" spans="1:3" ht="15" x14ac:dyDescent="0.25">
      <c r="A2906" s="3" t="s">
        <v>621</v>
      </c>
      <c r="B2906" s="3" t="s">
        <v>651</v>
      </c>
      <c r="C2906" s="3" t="s">
        <v>692</v>
      </c>
    </row>
    <row r="2907" spans="1:3" ht="15" x14ac:dyDescent="0.25">
      <c r="A2907" s="3" t="s">
        <v>214</v>
      </c>
      <c r="B2907" s="3" t="s">
        <v>651</v>
      </c>
      <c r="C2907" s="3" t="s">
        <v>692</v>
      </c>
    </row>
    <row r="2908" spans="1:3" ht="15" x14ac:dyDescent="0.25">
      <c r="A2908" s="3" t="s">
        <v>242</v>
      </c>
      <c r="B2908" s="3" t="s">
        <v>651</v>
      </c>
      <c r="C2908" s="3" t="s">
        <v>692</v>
      </c>
    </row>
    <row r="2909" spans="1:3" ht="15" x14ac:dyDescent="0.25">
      <c r="A2909" s="3" t="s">
        <v>247</v>
      </c>
      <c r="B2909" s="3" t="s">
        <v>651</v>
      </c>
      <c r="C2909" s="3" t="s">
        <v>692</v>
      </c>
    </row>
    <row r="2910" spans="1:3" ht="15" x14ac:dyDescent="0.25">
      <c r="A2910" s="3" t="s">
        <v>251</v>
      </c>
      <c r="B2910" s="3" t="s">
        <v>651</v>
      </c>
      <c r="C2910" s="3" t="s">
        <v>692</v>
      </c>
    </row>
    <row r="2911" spans="1:3" ht="15" x14ac:dyDescent="0.25">
      <c r="A2911" s="3" t="s">
        <v>195</v>
      </c>
      <c r="B2911" s="3" t="s">
        <v>651</v>
      </c>
      <c r="C2911" s="3" t="s">
        <v>692</v>
      </c>
    </row>
    <row r="2912" spans="1:3" ht="15" x14ac:dyDescent="0.25">
      <c r="A2912" s="3" t="s">
        <v>196</v>
      </c>
      <c r="B2912" s="3" t="s">
        <v>651</v>
      </c>
      <c r="C2912" s="3" t="s">
        <v>692</v>
      </c>
    </row>
    <row r="2913" spans="1:3" ht="15" x14ac:dyDescent="0.25">
      <c r="A2913" s="3" t="s">
        <v>381</v>
      </c>
      <c r="B2913" s="3" t="s">
        <v>651</v>
      </c>
      <c r="C2913" s="3" t="s">
        <v>692</v>
      </c>
    </row>
    <row r="2914" spans="1:3" ht="15" x14ac:dyDescent="0.25">
      <c r="A2914" s="3" t="s">
        <v>174</v>
      </c>
      <c r="B2914" s="3" t="s">
        <v>651</v>
      </c>
      <c r="C2914" s="3" t="s">
        <v>692</v>
      </c>
    </row>
    <row r="2915" spans="1:3" ht="15" x14ac:dyDescent="0.25">
      <c r="A2915" s="3" t="s">
        <v>393</v>
      </c>
      <c r="B2915" s="3" t="s">
        <v>651</v>
      </c>
      <c r="C2915" s="3" t="s">
        <v>692</v>
      </c>
    </row>
    <row r="2916" spans="1:3" ht="15" x14ac:dyDescent="0.25">
      <c r="A2916" s="3" t="s">
        <v>319</v>
      </c>
      <c r="B2916" s="3" t="s">
        <v>651</v>
      </c>
      <c r="C2916" s="3" t="s">
        <v>692</v>
      </c>
    </row>
    <row r="2917" spans="1:3" ht="15" x14ac:dyDescent="0.25">
      <c r="A2917" s="3" t="s">
        <v>180</v>
      </c>
      <c r="B2917" s="3" t="s">
        <v>651</v>
      </c>
      <c r="C2917" s="3" t="s">
        <v>692</v>
      </c>
    </row>
    <row r="2918" spans="1:3" ht="15" x14ac:dyDescent="0.25">
      <c r="A2918" s="3" t="s">
        <v>261</v>
      </c>
      <c r="B2918" s="3" t="s">
        <v>651</v>
      </c>
      <c r="C2918" s="3" t="s">
        <v>692</v>
      </c>
    </row>
    <row r="2919" spans="1:3" ht="15" x14ac:dyDescent="0.25">
      <c r="A2919" s="3" t="s">
        <v>109</v>
      </c>
      <c r="B2919" s="3" t="s">
        <v>651</v>
      </c>
      <c r="C2919" s="3" t="s">
        <v>692</v>
      </c>
    </row>
    <row r="2920" spans="1:3" ht="15" x14ac:dyDescent="0.25">
      <c r="A2920" s="3" t="s">
        <v>653</v>
      </c>
      <c r="B2920" s="3" t="s">
        <v>651</v>
      </c>
      <c r="C2920" s="3" t="s">
        <v>692</v>
      </c>
    </row>
    <row r="2921" spans="1:3" ht="15" x14ac:dyDescent="0.25">
      <c r="A2921" s="3" t="s">
        <v>320</v>
      </c>
      <c r="B2921" s="3" t="s">
        <v>651</v>
      </c>
      <c r="C2921" s="3" t="s">
        <v>692</v>
      </c>
    </row>
    <row r="2922" spans="1:3" ht="15" x14ac:dyDescent="0.25">
      <c r="A2922" s="3" t="s">
        <v>367</v>
      </c>
      <c r="B2922" s="3" t="s">
        <v>651</v>
      </c>
      <c r="C2922" s="3" t="s">
        <v>692</v>
      </c>
    </row>
    <row r="2923" spans="1:3" ht="15" x14ac:dyDescent="0.25">
      <c r="A2923" s="3" t="s">
        <v>306</v>
      </c>
      <c r="B2923" s="3" t="s">
        <v>651</v>
      </c>
      <c r="C2923" s="3" t="s">
        <v>692</v>
      </c>
    </row>
    <row r="2924" spans="1:3" ht="15" x14ac:dyDescent="0.25">
      <c r="A2924" s="3" t="s">
        <v>323</v>
      </c>
      <c r="B2924" s="3" t="s">
        <v>651</v>
      </c>
      <c r="C2924" s="3" t="s">
        <v>692</v>
      </c>
    </row>
    <row r="2925" spans="1:3" ht="15" x14ac:dyDescent="0.25">
      <c r="A2925" s="3" t="s">
        <v>267</v>
      </c>
      <c r="B2925" s="3" t="s">
        <v>651</v>
      </c>
      <c r="C2925" s="3" t="s">
        <v>692</v>
      </c>
    </row>
    <row r="2926" spans="1:3" ht="15" x14ac:dyDescent="0.25">
      <c r="A2926" s="3" t="s">
        <v>375</v>
      </c>
      <c r="B2926" s="3" t="s">
        <v>651</v>
      </c>
      <c r="C2926" s="3" t="s">
        <v>692</v>
      </c>
    </row>
    <row r="2927" spans="1:3" ht="15" x14ac:dyDescent="0.25">
      <c r="A2927" s="3" t="s">
        <v>85</v>
      </c>
      <c r="B2927" s="3" t="s">
        <v>651</v>
      </c>
      <c r="C2927" s="3" t="s">
        <v>692</v>
      </c>
    </row>
    <row r="2928" spans="1:3" ht="15" x14ac:dyDescent="0.25">
      <c r="A2928" s="3" t="s">
        <v>382</v>
      </c>
      <c r="B2928" s="3" t="s">
        <v>651</v>
      </c>
      <c r="C2928" s="3" t="s">
        <v>692</v>
      </c>
    </row>
    <row r="2929" spans="1:3" ht="15" x14ac:dyDescent="0.25">
      <c r="A2929" s="3" t="s">
        <v>368</v>
      </c>
      <c r="B2929" s="3" t="s">
        <v>651</v>
      </c>
      <c r="C2929" s="3" t="s">
        <v>692</v>
      </c>
    </row>
    <row r="2930" spans="1:3" ht="15" x14ac:dyDescent="0.25">
      <c r="A2930" s="3" t="s">
        <v>595</v>
      </c>
      <c r="B2930" s="3" t="s">
        <v>651</v>
      </c>
      <c r="C2930" s="3" t="s">
        <v>692</v>
      </c>
    </row>
    <row r="2931" spans="1:3" ht="15" x14ac:dyDescent="0.25">
      <c r="A2931" s="3" t="s">
        <v>333</v>
      </c>
      <c r="B2931" s="3" t="s">
        <v>651</v>
      </c>
      <c r="C2931" s="3" t="s">
        <v>692</v>
      </c>
    </row>
    <row r="2932" spans="1:3" ht="15" x14ac:dyDescent="0.25">
      <c r="A2932" s="3" t="s">
        <v>508</v>
      </c>
      <c r="B2932" s="3" t="s">
        <v>651</v>
      </c>
      <c r="C2932" s="3" t="s">
        <v>692</v>
      </c>
    </row>
    <row r="2933" spans="1:3" ht="15" x14ac:dyDescent="0.25">
      <c r="A2933" s="3" t="s">
        <v>370</v>
      </c>
      <c r="B2933" s="3" t="s">
        <v>651</v>
      </c>
      <c r="C2933" s="3" t="s">
        <v>692</v>
      </c>
    </row>
    <row r="2934" spans="1:3" ht="15" x14ac:dyDescent="0.25">
      <c r="A2934" s="3" t="s">
        <v>120</v>
      </c>
      <c r="B2934" s="3" t="s">
        <v>651</v>
      </c>
      <c r="C2934" s="3" t="s">
        <v>692</v>
      </c>
    </row>
    <row r="2935" spans="1:3" ht="15" x14ac:dyDescent="0.25">
      <c r="A2935" s="3" t="s">
        <v>182</v>
      </c>
      <c r="B2935" s="3" t="s">
        <v>651</v>
      </c>
      <c r="C2935" s="3" t="s">
        <v>692</v>
      </c>
    </row>
    <row r="2936" spans="1:3" ht="15" x14ac:dyDescent="0.25">
      <c r="A2936" s="3" t="s">
        <v>613</v>
      </c>
      <c r="B2936" s="3" t="s">
        <v>651</v>
      </c>
      <c r="C2936" s="3" t="s">
        <v>692</v>
      </c>
    </row>
    <row r="2937" spans="1:3" ht="15" x14ac:dyDescent="0.25">
      <c r="A2937" s="3" t="s">
        <v>236</v>
      </c>
      <c r="B2937" s="3" t="s">
        <v>648</v>
      </c>
      <c r="C2937" s="3" t="s">
        <v>692</v>
      </c>
    </row>
    <row r="2938" spans="1:3" ht="15" x14ac:dyDescent="0.25">
      <c r="A2938" s="3" t="s">
        <v>210</v>
      </c>
      <c r="B2938" s="3" t="s">
        <v>648</v>
      </c>
      <c r="C2938" s="3" t="s">
        <v>692</v>
      </c>
    </row>
    <row r="2939" spans="1:3" ht="15" x14ac:dyDescent="0.25">
      <c r="A2939" s="3" t="s">
        <v>395</v>
      </c>
      <c r="B2939" s="3" t="s">
        <v>648</v>
      </c>
      <c r="C2939" s="3" t="s">
        <v>692</v>
      </c>
    </row>
    <row r="2940" spans="1:3" ht="15" x14ac:dyDescent="0.25">
      <c r="A2940" s="3" t="s">
        <v>338</v>
      </c>
      <c r="B2940" s="3" t="s">
        <v>648</v>
      </c>
      <c r="C2940" s="3" t="s">
        <v>692</v>
      </c>
    </row>
    <row r="2941" spans="1:3" ht="15" x14ac:dyDescent="0.25">
      <c r="A2941" s="3" t="s">
        <v>533</v>
      </c>
      <c r="B2941" s="3" t="s">
        <v>648</v>
      </c>
      <c r="C2941" s="3" t="s">
        <v>692</v>
      </c>
    </row>
    <row r="2942" spans="1:3" ht="15" x14ac:dyDescent="0.25">
      <c r="A2942" s="3" t="s">
        <v>240</v>
      </c>
      <c r="B2942" s="3" t="s">
        <v>648</v>
      </c>
      <c r="C2942" s="3" t="s">
        <v>692</v>
      </c>
    </row>
    <row r="2943" spans="1:3" ht="15" x14ac:dyDescent="0.25">
      <c r="A2943" s="3" t="s">
        <v>172</v>
      </c>
      <c r="B2943" s="3" t="s">
        <v>648</v>
      </c>
      <c r="C2943" s="3" t="s">
        <v>692</v>
      </c>
    </row>
    <row r="2944" spans="1:3" ht="15" x14ac:dyDescent="0.25">
      <c r="A2944" s="3" t="s">
        <v>634</v>
      </c>
      <c r="B2944" s="3" t="s">
        <v>648</v>
      </c>
      <c r="C2944" s="3" t="s">
        <v>692</v>
      </c>
    </row>
    <row r="2945" spans="1:3" ht="15" x14ac:dyDescent="0.25">
      <c r="A2945" s="3" t="s">
        <v>541</v>
      </c>
      <c r="B2945" s="3" t="s">
        <v>648</v>
      </c>
      <c r="C2945" s="3" t="s">
        <v>692</v>
      </c>
    </row>
    <row r="2946" spans="1:3" ht="15" x14ac:dyDescent="0.25">
      <c r="A2946" s="3" t="s">
        <v>142</v>
      </c>
      <c r="B2946" s="3" t="s">
        <v>648</v>
      </c>
      <c r="C2946" s="3" t="s">
        <v>692</v>
      </c>
    </row>
    <row r="2947" spans="1:3" ht="15" x14ac:dyDescent="0.25">
      <c r="A2947" s="3" t="s">
        <v>193</v>
      </c>
      <c r="B2947" s="3" t="s">
        <v>648</v>
      </c>
      <c r="C2947" s="3" t="s">
        <v>692</v>
      </c>
    </row>
    <row r="2948" spans="1:3" ht="15" x14ac:dyDescent="0.25">
      <c r="A2948" s="3" t="s">
        <v>36</v>
      </c>
      <c r="B2948" s="3" t="s">
        <v>648</v>
      </c>
      <c r="C2948" s="3" t="s">
        <v>692</v>
      </c>
    </row>
    <row r="2949" spans="1:3" ht="15" x14ac:dyDescent="0.25">
      <c r="A2949" s="3" t="s">
        <v>43</v>
      </c>
      <c r="B2949" s="3" t="s">
        <v>648</v>
      </c>
      <c r="C2949" s="3" t="s">
        <v>692</v>
      </c>
    </row>
    <row r="2950" spans="1:3" ht="15" x14ac:dyDescent="0.25">
      <c r="A2950" s="3" t="s">
        <v>200</v>
      </c>
      <c r="B2950" s="3" t="s">
        <v>648</v>
      </c>
      <c r="C2950" s="3" t="s">
        <v>692</v>
      </c>
    </row>
    <row r="2951" spans="1:3" ht="15" x14ac:dyDescent="0.25">
      <c r="A2951" s="3" t="s">
        <v>397</v>
      </c>
      <c r="B2951" s="3" t="s">
        <v>648</v>
      </c>
      <c r="C2951" s="3" t="s">
        <v>692</v>
      </c>
    </row>
    <row r="2952" spans="1:3" ht="15" x14ac:dyDescent="0.25">
      <c r="A2952" s="3" t="s">
        <v>64</v>
      </c>
      <c r="B2952" s="3" t="s">
        <v>648</v>
      </c>
      <c r="C2952" s="3" t="s">
        <v>692</v>
      </c>
    </row>
    <row r="2953" spans="1:3" ht="15" x14ac:dyDescent="0.25">
      <c r="A2953" s="3" t="s">
        <v>282</v>
      </c>
      <c r="B2953" s="3" t="s">
        <v>648</v>
      </c>
      <c r="C2953" s="3" t="s">
        <v>692</v>
      </c>
    </row>
    <row r="2954" spans="1:3" ht="15" x14ac:dyDescent="0.25">
      <c r="A2954" s="3" t="s">
        <v>95</v>
      </c>
      <c r="B2954" s="3" t="s">
        <v>648</v>
      </c>
      <c r="C2954" s="3" t="s">
        <v>692</v>
      </c>
    </row>
    <row r="2955" spans="1:3" ht="15" x14ac:dyDescent="0.25">
      <c r="A2955" s="3" t="s">
        <v>162</v>
      </c>
      <c r="B2955" s="3" t="s">
        <v>648</v>
      </c>
      <c r="C2955" s="3" t="s">
        <v>692</v>
      </c>
    </row>
    <row r="2956" spans="1:3" ht="15" x14ac:dyDescent="0.25">
      <c r="A2956" s="3" t="s">
        <v>384</v>
      </c>
      <c r="B2956" s="3" t="s">
        <v>648</v>
      </c>
      <c r="C2956" s="3" t="s">
        <v>692</v>
      </c>
    </row>
    <row r="2957" spans="1:3" ht="15" x14ac:dyDescent="0.25">
      <c r="A2957" s="3" t="s">
        <v>100</v>
      </c>
      <c r="B2957" s="3" t="s">
        <v>648</v>
      </c>
      <c r="C2957" s="3" t="s">
        <v>692</v>
      </c>
    </row>
    <row r="2958" spans="1:3" ht="15" x14ac:dyDescent="0.25">
      <c r="A2958" s="3" t="s">
        <v>101</v>
      </c>
      <c r="B2958" s="3" t="s">
        <v>648</v>
      </c>
      <c r="C2958" s="3" t="s">
        <v>692</v>
      </c>
    </row>
    <row r="2959" spans="1:3" ht="15" x14ac:dyDescent="0.25">
      <c r="A2959" s="3" t="s">
        <v>204</v>
      </c>
      <c r="B2959" s="3" t="s">
        <v>648</v>
      </c>
      <c r="C2959" s="3"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37"/>
  <sheetViews>
    <sheetView workbookViewId="0">
      <selection sqref="A1:E1"/>
    </sheetView>
  </sheetViews>
  <sheetFormatPr defaultColWidth="12.5703125" defaultRowHeight="15.75" customHeight="1" x14ac:dyDescent="0.2"/>
  <cols>
    <col min="1" max="1" width="14.85546875" customWidth="1"/>
    <col min="2" max="2" width="18.28515625" customWidth="1"/>
    <col min="3" max="3" width="14.42578125" customWidth="1"/>
    <col min="4" max="4" width="15.140625" customWidth="1"/>
    <col min="5" max="5" width="14.28515625" customWidth="1"/>
    <col min="6" max="6" width="16.28515625" customWidth="1"/>
  </cols>
  <sheetData>
    <row r="1" spans="1:6" ht="12.75" x14ac:dyDescent="0.2">
      <c r="A1" s="22" t="s">
        <v>93</v>
      </c>
      <c r="B1" s="23"/>
      <c r="C1" s="23"/>
      <c r="D1" s="23"/>
      <c r="E1" s="24"/>
    </row>
    <row r="2" spans="1:6" ht="12.75" x14ac:dyDescent="0.2">
      <c r="A2" s="5" t="s">
        <v>113</v>
      </c>
      <c r="B2" s="5" t="s">
        <v>121</v>
      </c>
      <c r="C2" s="5" t="s">
        <v>123</v>
      </c>
      <c r="D2" s="5" t="s">
        <v>125</v>
      </c>
      <c r="E2" s="5" t="s">
        <v>115</v>
      </c>
    </row>
    <row r="3" spans="1:6" ht="12.75" x14ac:dyDescent="0.2">
      <c r="A3" s="5" t="s">
        <v>128</v>
      </c>
      <c r="B3" s="5" t="s">
        <v>129</v>
      </c>
      <c r="C3" s="5" t="s">
        <v>130</v>
      </c>
      <c r="D3" s="5" t="s">
        <v>131</v>
      </c>
      <c r="E3" s="5" t="s">
        <v>132</v>
      </c>
    </row>
    <row r="4" spans="1:6" ht="12.75" x14ac:dyDescent="0.2">
      <c r="A4" s="5" t="s">
        <v>134</v>
      </c>
      <c r="B4" s="5" t="s">
        <v>136</v>
      </c>
      <c r="C4" s="5" t="s">
        <v>137</v>
      </c>
      <c r="D4" s="5" t="s">
        <v>138</v>
      </c>
      <c r="E4" s="5" t="s">
        <v>140</v>
      </c>
    </row>
    <row r="5" spans="1:6" ht="12.75" x14ac:dyDescent="0.2">
      <c r="A5" s="5" t="s">
        <v>141</v>
      </c>
      <c r="B5" s="5" t="s">
        <v>143</v>
      </c>
      <c r="C5" s="5" t="s">
        <v>144</v>
      </c>
      <c r="D5" s="5" t="s">
        <v>145</v>
      </c>
      <c r="E5" s="5" t="s">
        <v>147</v>
      </c>
    </row>
    <row r="6" spans="1:6" ht="12.75" x14ac:dyDescent="0.2">
      <c r="A6" s="5" t="s">
        <v>78</v>
      </c>
      <c r="B6" s="5" t="s">
        <v>108</v>
      </c>
      <c r="C6" s="5" t="s">
        <v>148</v>
      </c>
      <c r="D6" s="5" t="s">
        <v>70</v>
      </c>
      <c r="E6" s="5" t="s">
        <v>87</v>
      </c>
    </row>
    <row r="7" spans="1:6" ht="12.75" x14ac:dyDescent="0.2">
      <c r="A7" s="5" t="s">
        <v>151</v>
      </c>
      <c r="B7" s="5" t="s">
        <v>153</v>
      </c>
      <c r="C7" s="5" t="s">
        <v>155</v>
      </c>
      <c r="D7" s="5" t="s">
        <v>156</v>
      </c>
      <c r="E7" s="5" t="s">
        <v>157</v>
      </c>
    </row>
    <row r="13" spans="1:6" ht="22.5" customHeight="1" x14ac:dyDescent="0.2">
      <c r="A13" s="8" t="s">
        <v>159</v>
      </c>
      <c r="B13" s="8" t="s">
        <v>167</v>
      </c>
      <c r="C13" s="8" t="s">
        <v>171</v>
      </c>
      <c r="D13" s="8" t="s">
        <v>173</v>
      </c>
      <c r="E13" s="8" t="s">
        <v>176</v>
      </c>
      <c r="F13" s="8" t="s">
        <v>179</v>
      </c>
    </row>
    <row r="14" spans="1:6" ht="22.5" customHeight="1" x14ac:dyDescent="0.2">
      <c r="A14" s="10" t="s">
        <v>113</v>
      </c>
      <c r="B14" s="10" t="s">
        <v>143</v>
      </c>
      <c r="C14" s="10" t="s">
        <v>134</v>
      </c>
      <c r="D14" s="10" t="s">
        <v>108</v>
      </c>
      <c r="E14" s="10" t="s">
        <v>128</v>
      </c>
      <c r="F14" s="10" t="s">
        <v>151</v>
      </c>
    </row>
    <row r="15" spans="1:6" ht="22.5" customHeight="1" x14ac:dyDescent="0.2">
      <c r="A15" s="10" t="s">
        <v>123</v>
      </c>
      <c r="B15" s="10" t="s">
        <v>192</v>
      </c>
      <c r="C15" s="10" t="s">
        <v>136</v>
      </c>
      <c r="D15" s="10" t="s">
        <v>87</v>
      </c>
      <c r="E15" s="10" t="s">
        <v>129</v>
      </c>
      <c r="F15" s="10" t="s">
        <v>120</v>
      </c>
    </row>
    <row r="16" spans="1:6" ht="22.5" customHeight="1" x14ac:dyDescent="0.2">
      <c r="A16" s="10" t="s">
        <v>125</v>
      </c>
      <c r="B16" s="10" t="s">
        <v>141</v>
      </c>
      <c r="C16" s="10" t="s">
        <v>140</v>
      </c>
      <c r="D16" s="10" t="s">
        <v>208</v>
      </c>
      <c r="E16" s="10" t="s">
        <v>213</v>
      </c>
      <c r="F16" s="10" t="s">
        <v>215</v>
      </c>
    </row>
    <row r="17" spans="1:6" ht="22.5" customHeight="1" x14ac:dyDescent="0.2">
      <c r="A17" s="10" t="s">
        <v>218</v>
      </c>
      <c r="B17" s="10" t="s">
        <v>219</v>
      </c>
      <c r="C17" s="10" t="s">
        <v>41</v>
      </c>
      <c r="D17" s="10" t="s">
        <v>70</v>
      </c>
      <c r="E17" s="10" t="s">
        <v>38</v>
      </c>
      <c r="F17" s="10" t="s">
        <v>75</v>
      </c>
    </row>
    <row r="18" spans="1:6" ht="22.5" customHeight="1" x14ac:dyDescent="0.2">
      <c r="A18" s="10" t="s">
        <v>229</v>
      </c>
      <c r="B18" s="10" t="s">
        <v>232</v>
      </c>
      <c r="C18" s="10" t="s">
        <v>209</v>
      </c>
      <c r="D18" s="10" t="s">
        <v>78</v>
      </c>
      <c r="E18" s="10" t="s">
        <v>132</v>
      </c>
      <c r="F18" s="10" t="s">
        <v>240</v>
      </c>
    </row>
    <row r="19" spans="1:6" ht="22.5" customHeight="1" x14ac:dyDescent="0.2">
      <c r="A19" s="10" t="s">
        <v>245</v>
      </c>
      <c r="B19" s="10" t="s">
        <v>248</v>
      </c>
      <c r="C19" s="10" t="s">
        <v>252</v>
      </c>
      <c r="D19" s="10" t="s">
        <v>148</v>
      </c>
      <c r="E19" s="10" t="s">
        <v>257</v>
      </c>
      <c r="F19" s="10" t="s">
        <v>258</v>
      </c>
    </row>
    <row r="20" spans="1:6" ht="22.5" customHeight="1" x14ac:dyDescent="0.2">
      <c r="A20" s="10" t="s">
        <v>59</v>
      </c>
      <c r="B20" s="10" t="s">
        <v>145</v>
      </c>
      <c r="C20" s="10" t="s">
        <v>271</v>
      </c>
      <c r="D20" s="10" t="s">
        <v>274</v>
      </c>
      <c r="E20" s="10" t="s">
        <v>277</v>
      </c>
      <c r="F20" s="10" t="s">
        <v>153</v>
      </c>
    </row>
    <row r="21" spans="1:6" ht="22.5" customHeight="1" x14ac:dyDescent="0.2">
      <c r="A21" s="10" t="s">
        <v>282</v>
      </c>
      <c r="B21" s="10" t="s">
        <v>144</v>
      </c>
      <c r="C21" s="10" t="s">
        <v>33</v>
      </c>
      <c r="D21" s="10" t="s">
        <v>290</v>
      </c>
      <c r="E21" s="10" t="s">
        <v>130</v>
      </c>
      <c r="F21" s="10" t="s">
        <v>155</v>
      </c>
    </row>
    <row r="22" spans="1:6" ht="22.5" customHeight="1" x14ac:dyDescent="0.2">
      <c r="A22" s="10" t="s">
        <v>115</v>
      </c>
      <c r="B22" s="10" t="s">
        <v>147</v>
      </c>
      <c r="C22" s="10" t="s">
        <v>300</v>
      </c>
      <c r="D22" s="10" t="s">
        <v>94</v>
      </c>
      <c r="E22" s="10" t="s">
        <v>170</v>
      </c>
      <c r="F22" s="10" t="s">
        <v>306</v>
      </c>
    </row>
    <row r="23" spans="1:6" ht="22.5" customHeight="1" x14ac:dyDescent="0.2">
      <c r="A23" s="10" t="s">
        <v>273</v>
      </c>
      <c r="B23" s="10" t="s">
        <v>172</v>
      </c>
      <c r="C23" s="10" t="s">
        <v>307</v>
      </c>
      <c r="D23" s="10" t="s">
        <v>309</v>
      </c>
      <c r="E23" s="10" t="s">
        <v>312</v>
      </c>
      <c r="F23" s="10" t="s">
        <v>315</v>
      </c>
    </row>
    <row r="24" spans="1:6" ht="22.5" customHeight="1" x14ac:dyDescent="0.2">
      <c r="A24" s="10" t="s">
        <v>243</v>
      </c>
      <c r="B24" s="10" t="s">
        <v>20</v>
      </c>
      <c r="C24" s="10" t="s">
        <v>319</v>
      </c>
      <c r="D24" s="10" t="s">
        <v>322</v>
      </c>
      <c r="E24" s="10" t="s">
        <v>324</v>
      </c>
      <c r="F24" s="10" t="s">
        <v>325</v>
      </c>
    </row>
    <row r="25" spans="1:6" ht="22.5" customHeight="1" x14ac:dyDescent="0.2">
      <c r="A25" s="10" t="s">
        <v>43</v>
      </c>
      <c r="B25" s="10" t="s">
        <v>329</v>
      </c>
      <c r="C25" s="10" t="s">
        <v>137</v>
      </c>
      <c r="D25" s="10" t="s">
        <v>332</v>
      </c>
      <c r="E25" s="10" t="s">
        <v>335</v>
      </c>
      <c r="F25" s="10" t="s">
        <v>331</v>
      </c>
    </row>
    <row r="26" spans="1:6" ht="22.5" customHeight="1" x14ac:dyDescent="0.2">
      <c r="A26" s="10" t="s">
        <v>337</v>
      </c>
      <c r="B26" s="10" t="s">
        <v>182</v>
      </c>
      <c r="C26" s="10" t="s">
        <v>339</v>
      </c>
      <c r="D26" s="10" t="s">
        <v>119</v>
      </c>
      <c r="E26" s="10" t="s">
        <v>186</v>
      </c>
      <c r="F26" s="10" t="s">
        <v>157</v>
      </c>
    </row>
    <row r="27" spans="1:6" ht="22.5" customHeight="1" x14ac:dyDescent="0.2">
      <c r="A27" s="10" t="s">
        <v>342</v>
      </c>
      <c r="B27" s="10" t="s">
        <v>263</v>
      </c>
      <c r="C27" s="10" t="s">
        <v>303</v>
      </c>
      <c r="D27" s="10" t="s">
        <v>345</v>
      </c>
      <c r="E27" s="10" t="s">
        <v>347</v>
      </c>
      <c r="F27" s="10" t="s">
        <v>156</v>
      </c>
    </row>
    <row r="28" spans="1:6" ht="22.5" customHeight="1" x14ac:dyDescent="0.2">
      <c r="A28" s="10" t="s">
        <v>100</v>
      </c>
      <c r="B28" s="10" t="s">
        <v>201</v>
      </c>
      <c r="C28" s="10" t="s">
        <v>228</v>
      </c>
      <c r="D28" s="10" t="s">
        <v>352</v>
      </c>
      <c r="E28" s="10" t="s">
        <v>354</v>
      </c>
      <c r="F28" s="10" t="s">
        <v>185</v>
      </c>
    </row>
    <row r="29" spans="1:6" ht="22.5" customHeight="1" x14ac:dyDescent="0.2">
      <c r="A29" s="10" t="s">
        <v>218</v>
      </c>
      <c r="B29" s="10" t="s">
        <v>358</v>
      </c>
      <c r="C29" s="10" t="s">
        <v>138</v>
      </c>
      <c r="D29" s="10" t="s">
        <v>360</v>
      </c>
      <c r="E29" s="10" t="s">
        <v>131</v>
      </c>
      <c r="F29" s="10" t="s">
        <v>361</v>
      </c>
    </row>
    <row r="33" spans="1:2" ht="12.75" x14ac:dyDescent="0.2">
      <c r="A33" s="25" t="s">
        <v>365</v>
      </c>
      <c r="B33" s="26"/>
    </row>
    <row r="34" spans="1:2" ht="12.75" x14ac:dyDescent="0.2">
      <c r="A34" s="11" t="s">
        <v>142</v>
      </c>
      <c r="B34" s="27" t="s">
        <v>369</v>
      </c>
    </row>
    <row r="35" spans="1:2" ht="12.75" x14ac:dyDescent="0.2">
      <c r="A35" s="11" t="s">
        <v>371</v>
      </c>
      <c r="B35" s="26"/>
    </row>
    <row r="36" spans="1:2" ht="12.75" x14ac:dyDescent="0.2">
      <c r="A36" s="11" t="s">
        <v>337</v>
      </c>
      <c r="B36" s="11" t="s">
        <v>373</v>
      </c>
    </row>
    <row r="37" spans="1:2" ht="12.75" x14ac:dyDescent="0.2">
      <c r="A37" s="11" t="s">
        <v>218</v>
      </c>
      <c r="B37" s="11" t="s">
        <v>373</v>
      </c>
    </row>
  </sheetData>
  <mergeCells count="3">
    <mergeCell ref="A1:E1"/>
    <mergeCell ref="A33:B33"/>
    <mergeCell ref="B34:B3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C74"/>
  <sheetViews>
    <sheetView workbookViewId="0"/>
  </sheetViews>
  <sheetFormatPr defaultColWidth="12.5703125" defaultRowHeight="15.75" customHeight="1" x14ac:dyDescent="0.2"/>
  <cols>
    <col min="1" max="1" width="21.28515625" customWidth="1"/>
    <col min="2" max="2" width="112" customWidth="1"/>
    <col min="3" max="3" width="94.42578125" customWidth="1"/>
    <col min="8" max="8" width="17" customWidth="1"/>
    <col min="9" max="9" width="25.5703125" customWidth="1"/>
  </cols>
  <sheetData>
    <row r="3" spans="1:3" ht="15.75" customHeight="1" x14ac:dyDescent="0.3">
      <c r="A3" s="35" t="s">
        <v>396</v>
      </c>
      <c r="B3" s="26"/>
      <c r="C3" s="26"/>
    </row>
    <row r="4" spans="1:3" ht="12.75" x14ac:dyDescent="0.2">
      <c r="A4" s="36"/>
      <c r="B4" s="26"/>
      <c r="C4" s="26"/>
    </row>
    <row r="5" spans="1:3" ht="15.75" customHeight="1" x14ac:dyDescent="0.25">
      <c r="A5" s="3"/>
      <c r="B5" s="3"/>
      <c r="C5" s="3"/>
    </row>
    <row r="6" spans="1:3" ht="15.75" customHeight="1" x14ac:dyDescent="0.25">
      <c r="A6" s="30" t="s">
        <v>399</v>
      </c>
      <c r="B6" s="26"/>
      <c r="C6" s="26"/>
    </row>
    <row r="7" spans="1:3" ht="15.75" customHeight="1" x14ac:dyDescent="0.25">
      <c r="A7" s="12"/>
      <c r="B7" s="28"/>
      <c r="C7" s="29"/>
    </row>
    <row r="8" spans="1:3" ht="15.75" customHeight="1" x14ac:dyDescent="0.25">
      <c r="A8" s="12" t="s">
        <v>401</v>
      </c>
      <c r="B8" s="28" t="s">
        <v>402</v>
      </c>
      <c r="C8" s="29"/>
    </row>
    <row r="9" spans="1:3" ht="15.75" customHeight="1" x14ac:dyDescent="0.25">
      <c r="A9" s="12" t="s">
        <v>403</v>
      </c>
      <c r="B9" s="28" t="s">
        <v>404</v>
      </c>
      <c r="C9" s="29"/>
    </row>
    <row r="10" spans="1:3" ht="15.75" customHeight="1" x14ac:dyDescent="0.25">
      <c r="A10" s="12" t="s">
        <v>407</v>
      </c>
      <c r="B10" s="28" t="s">
        <v>409</v>
      </c>
      <c r="C10" s="29"/>
    </row>
    <row r="11" spans="1:3" ht="15.75" customHeight="1" x14ac:dyDescent="0.25">
      <c r="A11" s="13"/>
      <c r="B11" s="34"/>
      <c r="C11" s="29"/>
    </row>
    <row r="12" spans="1:3" ht="15.75" customHeight="1" x14ac:dyDescent="0.25">
      <c r="A12" s="13"/>
      <c r="B12" s="34"/>
      <c r="C12" s="29"/>
    </row>
    <row r="13" spans="1:3" ht="15.75" customHeight="1" x14ac:dyDescent="0.25">
      <c r="A13" s="3"/>
      <c r="B13" s="3"/>
      <c r="C13" s="3"/>
    </row>
    <row r="14" spans="1:3" ht="15.75" customHeight="1" x14ac:dyDescent="0.25">
      <c r="A14" s="30" t="s">
        <v>411</v>
      </c>
      <c r="B14" s="26"/>
      <c r="C14" s="26"/>
    </row>
    <row r="15" spans="1:3" ht="15.75" customHeight="1" x14ac:dyDescent="0.25">
      <c r="A15" s="14" t="s">
        <v>0</v>
      </c>
      <c r="B15" s="14" t="s">
        <v>412</v>
      </c>
      <c r="C15" s="14" t="s">
        <v>413</v>
      </c>
    </row>
    <row r="16" spans="1:3" ht="15.75" customHeight="1" x14ac:dyDescent="0.25">
      <c r="A16" s="15" t="s">
        <v>414</v>
      </c>
      <c r="B16" s="16" t="s">
        <v>415</v>
      </c>
      <c r="C16" s="16" t="s">
        <v>416</v>
      </c>
    </row>
    <row r="17" spans="1:3" ht="15.75" customHeight="1" x14ac:dyDescent="0.25">
      <c r="A17" s="17" t="s">
        <v>418</v>
      </c>
      <c r="B17" s="18" t="s">
        <v>420</v>
      </c>
      <c r="C17" s="18" t="s">
        <v>421</v>
      </c>
    </row>
    <row r="18" spans="1:3" ht="15.75" customHeight="1" x14ac:dyDescent="0.25">
      <c r="A18" s="15" t="s">
        <v>108</v>
      </c>
      <c r="B18" s="16" t="s">
        <v>422</v>
      </c>
      <c r="C18" s="16" t="s">
        <v>423</v>
      </c>
    </row>
    <row r="19" spans="1:3" ht="15.75" customHeight="1" x14ac:dyDescent="0.25">
      <c r="A19" s="17" t="s">
        <v>78</v>
      </c>
      <c r="B19" s="18" t="s">
        <v>424</v>
      </c>
      <c r="C19" s="18" t="s">
        <v>425</v>
      </c>
    </row>
    <row r="20" spans="1:3" ht="15.75" customHeight="1" x14ac:dyDescent="0.25">
      <c r="A20" s="3"/>
      <c r="B20" s="3"/>
      <c r="C20" s="3"/>
    </row>
    <row r="21" spans="1:3" ht="15.75" customHeight="1" x14ac:dyDescent="0.25">
      <c r="A21" s="30" t="s">
        <v>426</v>
      </c>
      <c r="B21" s="26"/>
      <c r="C21" s="26"/>
    </row>
    <row r="22" spans="1:3" ht="15.75" customHeight="1" x14ac:dyDescent="0.25">
      <c r="A22" s="14" t="s">
        <v>0</v>
      </c>
      <c r="B22" s="14" t="s">
        <v>412</v>
      </c>
      <c r="C22" s="14" t="s">
        <v>413</v>
      </c>
    </row>
    <row r="23" spans="1:3" ht="15.75" customHeight="1" x14ac:dyDescent="0.25">
      <c r="A23" s="15" t="s">
        <v>428</v>
      </c>
      <c r="B23" s="16" t="s">
        <v>429</v>
      </c>
      <c r="C23" s="16" t="s">
        <v>430</v>
      </c>
    </row>
    <row r="24" spans="1:3" ht="15.75" customHeight="1" x14ac:dyDescent="0.25">
      <c r="A24" s="17" t="s">
        <v>432</v>
      </c>
      <c r="B24" s="18" t="s">
        <v>433</v>
      </c>
      <c r="C24" s="18" t="s">
        <v>434</v>
      </c>
    </row>
    <row r="25" spans="1:3" ht="15.75" customHeight="1" x14ac:dyDescent="0.25">
      <c r="A25" s="15" t="s">
        <v>277</v>
      </c>
      <c r="B25" s="16" t="s">
        <v>435</v>
      </c>
      <c r="C25" s="16" t="s">
        <v>436</v>
      </c>
    </row>
    <row r="26" spans="1:3" ht="15.75" customHeight="1" x14ac:dyDescent="0.25">
      <c r="A26" s="3"/>
      <c r="B26" s="3"/>
      <c r="C26" s="3"/>
    </row>
    <row r="27" spans="1:3" ht="15.75" customHeight="1" x14ac:dyDescent="0.25">
      <c r="A27" s="30" t="s">
        <v>438</v>
      </c>
      <c r="B27" s="26"/>
      <c r="C27" s="26"/>
    </row>
    <row r="28" spans="1:3" ht="15.75" customHeight="1" x14ac:dyDescent="0.25">
      <c r="A28" s="14" t="s">
        <v>0</v>
      </c>
      <c r="B28" s="14" t="s">
        <v>412</v>
      </c>
      <c r="C28" s="14" t="s">
        <v>413</v>
      </c>
    </row>
    <row r="29" spans="1:3" ht="15.75" customHeight="1" x14ac:dyDescent="0.25">
      <c r="A29" s="15" t="s">
        <v>138</v>
      </c>
      <c r="B29" s="16" t="s">
        <v>439</v>
      </c>
      <c r="C29" s="16" t="s">
        <v>440</v>
      </c>
    </row>
    <row r="30" spans="1:3" ht="15.75" customHeight="1" x14ac:dyDescent="0.25">
      <c r="A30" s="17" t="s">
        <v>134</v>
      </c>
      <c r="B30" s="18" t="s">
        <v>442</v>
      </c>
      <c r="C30" s="18" t="s">
        <v>444</v>
      </c>
    </row>
    <row r="31" spans="1:3" ht="15.75" customHeight="1" x14ac:dyDescent="0.25">
      <c r="A31" s="15" t="s">
        <v>326</v>
      </c>
      <c r="B31" s="16" t="s">
        <v>445</v>
      </c>
      <c r="C31" s="16" t="s">
        <v>446</v>
      </c>
    </row>
    <row r="32" spans="1:3" ht="15.75" customHeight="1" x14ac:dyDescent="0.25">
      <c r="A32" s="17" t="s">
        <v>209</v>
      </c>
      <c r="B32" s="18" t="s">
        <v>447</v>
      </c>
      <c r="C32" s="18" t="s">
        <v>448</v>
      </c>
    </row>
    <row r="33" spans="1:3" ht="15.75" customHeight="1" x14ac:dyDescent="0.25">
      <c r="A33" s="15" t="s">
        <v>237</v>
      </c>
      <c r="B33" s="16" t="s">
        <v>450</v>
      </c>
      <c r="C33" s="16" t="s">
        <v>452</v>
      </c>
    </row>
    <row r="34" spans="1:3" ht="15.75" customHeight="1" x14ac:dyDescent="0.25">
      <c r="A34" s="3"/>
      <c r="B34" s="3"/>
      <c r="C34" s="3"/>
    </row>
    <row r="35" spans="1:3" ht="15.75" customHeight="1" x14ac:dyDescent="0.25">
      <c r="A35" s="30" t="s">
        <v>453</v>
      </c>
      <c r="B35" s="26"/>
      <c r="C35" s="26"/>
    </row>
    <row r="36" spans="1:3" ht="15.75" customHeight="1" x14ac:dyDescent="0.25">
      <c r="A36" s="14" t="s">
        <v>0</v>
      </c>
      <c r="B36" s="14" t="s">
        <v>412</v>
      </c>
      <c r="C36" s="14" t="s">
        <v>413</v>
      </c>
    </row>
    <row r="37" spans="1:3" ht="15.75" customHeight="1" x14ac:dyDescent="0.25">
      <c r="A37" s="15" t="s">
        <v>454</v>
      </c>
      <c r="B37" s="16" t="s">
        <v>455</v>
      </c>
      <c r="C37" s="16" t="s">
        <v>456</v>
      </c>
    </row>
    <row r="38" spans="1:3" ht="15.75" customHeight="1" x14ac:dyDescent="0.25">
      <c r="A38" s="17" t="s">
        <v>457</v>
      </c>
      <c r="B38" s="18" t="s">
        <v>458</v>
      </c>
      <c r="C38" s="18" t="s">
        <v>459</v>
      </c>
    </row>
    <row r="39" spans="1:3" ht="15" x14ac:dyDescent="0.25">
      <c r="A39" s="15" t="s">
        <v>258</v>
      </c>
      <c r="B39" s="16" t="s">
        <v>460</v>
      </c>
      <c r="C39" s="16" t="s">
        <v>461</v>
      </c>
    </row>
    <row r="40" spans="1:3" ht="15" x14ac:dyDescent="0.25">
      <c r="A40" s="17" t="s">
        <v>463</v>
      </c>
      <c r="B40" s="18" t="s">
        <v>465</v>
      </c>
      <c r="C40" s="18" t="s">
        <v>467</v>
      </c>
    </row>
    <row r="41" spans="1:3" ht="15" x14ac:dyDescent="0.25">
      <c r="A41" s="15" t="s">
        <v>120</v>
      </c>
      <c r="B41" s="16" t="s">
        <v>469</v>
      </c>
      <c r="C41" s="16" t="s">
        <v>470</v>
      </c>
    </row>
    <row r="42" spans="1:3" ht="15" x14ac:dyDescent="0.25">
      <c r="A42" s="17" t="s">
        <v>472</v>
      </c>
      <c r="B42" s="18" t="s">
        <v>473</v>
      </c>
      <c r="C42" s="18" t="s">
        <v>474</v>
      </c>
    </row>
    <row r="43" spans="1:3" ht="15" x14ac:dyDescent="0.25">
      <c r="A43" s="15" t="s">
        <v>451</v>
      </c>
      <c r="B43" s="16" t="s">
        <v>475</v>
      </c>
      <c r="C43" s="16" t="s">
        <v>477</v>
      </c>
    </row>
    <row r="44" spans="1:3" ht="15" x14ac:dyDescent="0.25">
      <c r="A44" s="3"/>
      <c r="B44" s="3"/>
      <c r="C44" s="3"/>
    </row>
    <row r="45" spans="1:3" x14ac:dyDescent="0.25">
      <c r="A45" s="30" t="s">
        <v>478</v>
      </c>
      <c r="B45" s="26"/>
      <c r="C45" s="26"/>
    </row>
    <row r="46" spans="1:3" ht="15" x14ac:dyDescent="0.25">
      <c r="A46" s="14" t="s">
        <v>0</v>
      </c>
      <c r="B46" s="14" t="s">
        <v>412</v>
      </c>
      <c r="C46" s="14" t="s">
        <v>413</v>
      </c>
    </row>
    <row r="47" spans="1:3" ht="15" x14ac:dyDescent="0.25">
      <c r="A47" s="15" t="s">
        <v>115</v>
      </c>
      <c r="B47" s="16" t="s">
        <v>479</v>
      </c>
      <c r="C47" s="16" t="s">
        <v>481</v>
      </c>
    </row>
    <row r="48" spans="1:3" ht="15" x14ac:dyDescent="0.25">
      <c r="A48" s="17" t="s">
        <v>121</v>
      </c>
      <c r="B48" s="18" t="s">
        <v>482</v>
      </c>
      <c r="C48" s="18" t="s">
        <v>483</v>
      </c>
    </row>
    <row r="49" spans="1:3" ht="15" x14ac:dyDescent="0.25">
      <c r="A49" s="15" t="s">
        <v>113</v>
      </c>
      <c r="B49" s="16" t="s">
        <v>485</v>
      </c>
      <c r="C49" s="16" t="s">
        <v>487</v>
      </c>
    </row>
    <row r="50" spans="1:3" ht="15" x14ac:dyDescent="0.25">
      <c r="A50" s="17" t="s">
        <v>350</v>
      </c>
      <c r="B50" s="18" t="s">
        <v>488</v>
      </c>
      <c r="C50" s="18" t="s">
        <v>489</v>
      </c>
    </row>
    <row r="51" spans="1:3" ht="15" x14ac:dyDescent="0.25">
      <c r="A51" s="15" t="s">
        <v>490</v>
      </c>
      <c r="B51" s="16" t="s">
        <v>491</v>
      </c>
      <c r="C51" s="16" t="s">
        <v>493</v>
      </c>
    </row>
    <row r="52" spans="1:3" ht="15" x14ac:dyDescent="0.25">
      <c r="A52" s="3"/>
      <c r="B52" s="3"/>
      <c r="C52" s="3"/>
    </row>
    <row r="53" spans="1:3" x14ac:dyDescent="0.25">
      <c r="A53" s="30" t="s">
        <v>494</v>
      </c>
      <c r="B53" s="26"/>
      <c r="C53" s="26"/>
    </row>
    <row r="54" spans="1:3" ht="15" x14ac:dyDescent="0.25">
      <c r="A54" s="14" t="s">
        <v>0</v>
      </c>
      <c r="B54" s="14" t="s">
        <v>412</v>
      </c>
      <c r="C54" s="14" t="s">
        <v>413</v>
      </c>
    </row>
    <row r="55" spans="1:3" ht="15" x14ac:dyDescent="0.25">
      <c r="A55" s="15" t="s">
        <v>145</v>
      </c>
      <c r="B55" s="16" t="s">
        <v>495</v>
      </c>
      <c r="C55" s="16" t="s">
        <v>496</v>
      </c>
    </row>
    <row r="56" spans="1:3" ht="15" x14ac:dyDescent="0.25">
      <c r="A56" s="17" t="s">
        <v>141</v>
      </c>
      <c r="B56" s="18" t="s">
        <v>497</v>
      </c>
      <c r="C56" s="18" t="s">
        <v>498</v>
      </c>
    </row>
    <row r="57" spans="1:3" ht="15" x14ac:dyDescent="0.25">
      <c r="A57" s="15" t="s">
        <v>378</v>
      </c>
      <c r="B57" s="16" t="s">
        <v>499</v>
      </c>
      <c r="C57" s="16" t="s">
        <v>500</v>
      </c>
    </row>
    <row r="58" spans="1:3" ht="15" x14ac:dyDescent="0.25">
      <c r="A58" s="17" t="s">
        <v>219</v>
      </c>
      <c r="B58" s="18" t="s">
        <v>502</v>
      </c>
      <c r="C58" s="18" t="s">
        <v>503</v>
      </c>
    </row>
    <row r="59" spans="1:3" ht="15" x14ac:dyDescent="0.25">
      <c r="A59" s="15" t="s">
        <v>504</v>
      </c>
      <c r="B59" s="16" t="s">
        <v>505</v>
      </c>
      <c r="C59" s="16" t="s">
        <v>506</v>
      </c>
    </row>
    <row r="67" spans="1:3" ht="12.75" x14ac:dyDescent="0.2">
      <c r="A67" s="31" t="s">
        <v>507</v>
      </c>
      <c r="B67" s="32"/>
      <c r="C67" s="33"/>
    </row>
    <row r="68" spans="1:3" ht="12.75" x14ac:dyDescent="0.2">
      <c r="A68" s="19" t="s">
        <v>510</v>
      </c>
      <c r="B68" s="19" t="s">
        <v>511</v>
      </c>
      <c r="C68" s="19" t="s">
        <v>512</v>
      </c>
    </row>
    <row r="69" spans="1:3" ht="12.75" x14ac:dyDescent="0.2">
      <c r="A69" s="4" t="s">
        <v>514</v>
      </c>
      <c r="B69" s="4" t="s">
        <v>515</v>
      </c>
      <c r="C69" s="4" t="s">
        <v>515</v>
      </c>
    </row>
    <row r="70" spans="1:3" ht="12.75" x14ac:dyDescent="0.2">
      <c r="A70" s="4" t="s">
        <v>517</v>
      </c>
      <c r="B70" s="4" t="s">
        <v>518</v>
      </c>
      <c r="C70" s="4" t="s">
        <v>518</v>
      </c>
    </row>
    <row r="71" spans="1:3" ht="12.75" x14ac:dyDescent="0.2">
      <c r="A71" s="4" t="s">
        <v>519</v>
      </c>
      <c r="B71" s="4" t="s">
        <v>520</v>
      </c>
      <c r="C71" s="4" t="s">
        <v>522</v>
      </c>
    </row>
    <row r="72" spans="1:3" ht="12.75" x14ac:dyDescent="0.2">
      <c r="A72" s="4" t="s">
        <v>96</v>
      </c>
      <c r="B72" s="4" t="s">
        <v>523</v>
      </c>
      <c r="C72" s="4" t="s">
        <v>524</v>
      </c>
    </row>
    <row r="73" spans="1:3" ht="12.75" x14ac:dyDescent="0.2">
      <c r="A73" s="4" t="s">
        <v>56</v>
      </c>
      <c r="B73" s="4" t="s">
        <v>115</v>
      </c>
      <c r="C73" s="4" t="s">
        <v>350</v>
      </c>
    </row>
    <row r="74" spans="1:3" ht="12.75" x14ac:dyDescent="0.2">
      <c r="A74" s="4" t="s">
        <v>110</v>
      </c>
      <c r="B74" s="4" t="s">
        <v>525</v>
      </c>
      <c r="C74" s="4" t="s">
        <v>526</v>
      </c>
    </row>
  </sheetData>
  <mergeCells count="16">
    <mergeCell ref="A3:C3"/>
    <mergeCell ref="A4:C4"/>
    <mergeCell ref="A6:C6"/>
    <mergeCell ref="B7:C7"/>
    <mergeCell ref="B8:C8"/>
    <mergeCell ref="B9:C9"/>
    <mergeCell ref="B10:C10"/>
    <mergeCell ref="A53:C53"/>
    <mergeCell ref="A67:C67"/>
    <mergeCell ref="B11:C11"/>
    <mergeCell ref="B12:C12"/>
    <mergeCell ref="A14:C14"/>
    <mergeCell ref="A21:C21"/>
    <mergeCell ref="A27:C27"/>
    <mergeCell ref="A35:C35"/>
    <mergeCell ref="A45:C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44"/>
  <sheetViews>
    <sheetView workbookViewId="0"/>
  </sheetViews>
  <sheetFormatPr defaultColWidth="12.5703125" defaultRowHeight="15.75" customHeight="1" x14ac:dyDescent="0.2"/>
  <cols>
    <col min="1" max="1" width="48.140625" customWidth="1"/>
    <col min="2" max="2" width="74.42578125" customWidth="1"/>
    <col min="4" max="4" width="747.140625" customWidth="1"/>
  </cols>
  <sheetData>
    <row r="1" spans="1:4" ht="15.75" customHeight="1" x14ac:dyDescent="0.25">
      <c r="A1" s="20" t="s">
        <v>544</v>
      </c>
      <c r="B1" s="20" t="s">
        <v>546</v>
      </c>
      <c r="C1" s="20" t="s">
        <v>547</v>
      </c>
      <c r="D1" s="20" t="s">
        <v>548</v>
      </c>
    </row>
    <row r="2" spans="1:4" ht="15.75" customHeight="1" x14ac:dyDescent="0.25">
      <c r="A2" s="3" t="s">
        <v>549</v>
      </c>
      <c r="B2" s="3" t="s">
        <v>550</v>
      </c>
      <c r="C2" s="3">
        <v>10</v>
      </c>
      <c r="D2" s="3" t="s">
        <v>551</v>
      </c>
    </row>
    <row r="3" spans="1:4" ht="15.75" customHeight="1" x14ac:dyDescent="0.25">
      <c r="A3" s="3" t="s">
        <v>15</v>
      </c>
      <c r="B3" s="3" t="s">
        <v>552</v>
      </c>
      <c r="C3" s="3">
        <v>12</v>
      </c>
      <c r="D3" s="3" t="s">
        <v>553</v>
      </c>
    </row>
    <row r="4" spans="1:4" ht="15.75" customHeight="1" x14ac:dyDescent="0.25">
      <c r="A4" s="3" t="s">
        <v>17</v>
      </c>
      <c r="B4" s="3"/>
      <c r="C4" s="3">
        <v>6</v>
      </c>
      <c r="D4" s="3" t="s">
        <v>554</v>
      </c>
    </row>
    <row r="5" spans="1:4" ht="15.75" customHeight="1" x14ac:dyDescent="0.25">
      <c r="A5" s="3" t="s">
        <v>19</v>
      </c>
      <c r="B5" s="3"/>
      <c r="C5" s="3">
        <v>1</v>
      </c>
      <c r="D5" s="3" t="s">
        <v>296</v>
      </c>
    </row>
    <row r="6" spans="1:4" ht="15.75" customHeight="1" x14ac:dyDescent="0.25">
      <c r="A6" s="3" t="s">
        <v>21</v>
      </c>
      <c r="B6" s="3" t="s">
        <v>555</v>
      </c>
      <c r="C6" s="3">
        <v>58</v>
      </c>
      <c r="D6" s="3" t="s">
        <v>556</v>
      </c>
    </row>
    <row r="7" spans="1:4" ht="15.75" customHeight="1" x14ac:dyDescent="0.25">
      <c r="A7" s="3" t="s">
        <v>23</v>
      </c>
      <c r="B7" s="3" t="s">
        <v>558</v>
      </c>
      <c r="C7" s="3">
        <v>11</v>
      </c>
      <c r="D7" s="3" t="s">
        <v>559</v>
      </c>
    </row>
    <row r="8" spans="1:4" ht="15.75" customHeight="1" x14ac:dyDescent="0.25">
      <c r="A8" s="3" t="s">
        <v>24</v>
      </c>
      <c r="B8" s="3" t="s">
        <v>560</v>
      </c>
      <c r="C8" s="3">
        <v>19</v>
      </c>
      <c r="D8" s="3" t="s">
        <v>561</v>
      </c>
    </row>
    <row r="9" spans="1:4" ht="15.75" customHeight="1" x14ac:dyDescent="0.25">
      <c r="A9" s="3" t="s">
        <v>26</v>
      </c>
      <c r="B9" s="3"/>
      <c r="C9" s="3">
        <v>3</v>
      </c>
      <c r="D9" s="3" t="s">
        <v>562</v>
      </c>
    </row>
    <row r="10" spans="1:4" ht="15.75" customHeight="1" x14ac:dyDescent="0.25">
      <c r="A10" s="3" t="s">
        <v>28</v>
      </c>
      <c r="B10" s="3"/>
      <c r="C10" s="3">
        <v>1</v>
      </c>
      <c r="D10" s="3" t="s">
        <v>116</v>
      </c>
    </row>
    <row r="11" spans="1:4" ht="15.75" customHeight="1" x14ac:dyDescent="0.25">
      <c r="A11" s="3" t="s">
        <v>29</v>
      </c>
      <c r="B11" s="3" t="s">
        <v>563</v>
      </c>
      <c r="C11" s="3">
        <v>2</v>
      </c>
      <c r="D11" s="3" t="s">
        <v>565</v>
      </c>
    </row>
    <row r="12" spans="1:4" ht="15.75" customHeight="1" x14ac:dyDescent="0.25">
      <c r="A12" s="3" t="s">
        <v>30</v>
      </c>
      <c r="B12" s="3"/>
      <c r="C12" s="3">
        <v>1</v>
      </c>
      <c r="D12" s="3" t="s">
        <v>112</v>
      </c>
    </row>
    <row r="13" spans="1:4" ht="15.75" customHeight="1" x14ac:dyDescent="0.25">
      <c r="A13" s="3" t="s">
        <v>32</v>
      </c>
      <c r="B13" s="3"/>
      <c r="C13" s="3">
        <v>1</v>
      </c>
      <c r="D13" s="3" t="s">
        <v>251</v>
      </c>
    </row>
    <row r="14" spans="1:4" ht="15.75" customHeight="1" x14ac:dyDescent="0.25">
      <c r="A14" s="3" t="s">
        <v>34</v>
      </c>
      <c r="B14" s="3"/>
      <c r="C14" s="3">
        <v>1</v>
      </c>
      <c r="D14" s="3" t="s">
        <v>237</v>
      </c>
    </row>
    <row r="15" spans="1:4" ht="15.75" customHeight="1" x14ac:dyDescent="0.25">
      <c r="A15" s="3" t="s">
        <v>35</v>
      </c>
      <c r="B15" s="3"/>
      <c r="C15" s="3">
        <v>2</v>
      </c>
      <c r="D15" s="3" t="s">
        <v>567</v>
      </c>
    </row>
    <row r="16" spans="1:4" ht="15.75" customHeight="1" x14ac:dyDescent="0.25">
      <c r="A16" s="3" t="s">
        <v>37</v>
      </c>
      <c r="B16" s="3"/>
      <c r="C16" s="3">
        <v>12</v>
      </c>
      <c r="D16" s="3" t="s">
        <v>568</v>
      </c>
    </row>
    <row r="17" spans="1:4" ht="15.75" customHeight="1" x14ac:dyDescent="0.25">
      <c r="A17" s="3" t="s">
        <v>39</v>
      </c>
      <c r="B17" s="3"/>
      <c r="C17" s="3">
        <v>1</v>
      </c>
      <c r="D17" s="3" t="s">
        <v>129</v>
      </c>
    </row>
    <row r="18" spans="1:4" ht="15.75" customHeight="1" x14ac:dyDescent="0.25">
      <c r="A18" s="3" t="s">
        <v>40</v>
      </c>
      <c r="B18" s="3"/>
      <c r="C18" s="3">
        <v>17</v>
      </c>
      <c r="D18" s="3" t="s">
        <v>569</v>
      </c>
    </row>
    <row r="19" spans="1:4" ht="15.75" customHeight="1" x14ac:dyDescent="0.25">
      <c r="A19" s="3" t="s">
        <v>42</v>
      </c>
      <c r="B19" s="3"/>
      <c r="C19" s="3">
        <v>9</v>
      </c>
      <c r="D19" s="3" t="s">
        <v>570</v>
      </c>
    </row>
    <row r="20" spans="1:4" ht="15.75" customHeight="1" x14ac:dyDescent="0.25">
      <c r="A20" s="3" t="s">
        <v>44</v>
      </c>
      <c r="B20" s="3" t="s">
        <v>571</v>
      </c>
      <c r="C20" s="3">
        <v>38</v>
      </c>
      <c r="D20" s="3" t="s">
        <v>572</v>
      </c>
    </row>
    <row r="21" spans="1:4" ht="15.75" customHeight="1" x14ac:dyDescent="0.25">
      <c r="A21" s="3" t="s">
        <v>45</v>
      </c>
      <c r="B21" s="3" t="s">
        <v>573</v>
      </c>
      <c r="C21" s="3">
        <v>2</v>
      </c>
      <c r="D21" s="3" t="s">
        <v>574</v>
      </c>
    </row>
    <row r="22" spans="1:4" ht="15.75" customHeight="1" x14ac:dyDescent="0.25">
      <c r="A22" s="3" t="s">
        <v>47</v>
      </c>
      <c r="B22" s="3" t="s">
        <v>575</v>
      </c>
      <c r="C22" s="3">
        <v>2</v>
      </c>
      <c r="D22" s="3" t="s">
        <v>574</v>
      </c>
    </row>
    <row r="23" spans="1:4" ht="15.75" customHeight="1" x14ac:dyDescent="0.25">
      <c r="A23" s="3" t="s">
        <v>48</v>
      </c>
      <c r="B23" s="3"/>
      <c r="C23" s="3">
        <v>1</v>
      </c>
      <c r="D23" s="3" t="s">
        <v>368</v>
      </c>
    </row>
    <row r="24" spans="1:4" ht="15.75" customHeight="1" x14ac:dyDescent="0.25">
      <c r="A24" s="3" t="s">
        <v>50</v>
      </c>
      <c r="B24" s="3" t="s">
        <v>576</v>
      </c>
      <c r="C24" s="3">
        <v>4</v>
      </c>
      <c r="D24" s="3" t="s">
        <v>577</v>
      </c>
    </row>
    <row r="25" spans="1:4" ht="15.75" customHeight="1" x14ac:dyDescent="0.25">
      <c r="A25" s="3" t="s">
        <v>51</v>
      </c>
      <c r="B25" s="3"/>
      <c r="C25" s="3">
        <v>2</v>
      </c>
      <c r="D25" s="3" t="s">
        <v>578</v>
      </c>
    </row>
    <row r="26" spans="1:4" ht="15.75" customHeight="1" x14ac:dyDescent="0.25">
      <c r="A26" s="3" t="s">
        <v>53</v>
      </c>
      <c r="B26" s="3"/>
      <c r="C26" s="3">
        <v>17</v>
      </c>
      <c r="D26" s="3" t="s">
        <v>579</v>
      </c>
    </row>
    <row r="27" spans="1:4" ht="15.75" customHeight="1" x14ac:dyDescent="0.25">
      <c r="A27" s="3" t="s">
        <v>54</v>
      </c>
      <c r="B27" s="3"/>
      <c r="C27" s="3">
        <v>5</v>
      </c>
      <c r="D27" s="3" t="s">
        <v>580</v>
      </c>
    </row>
    <row r="28" spans="1:4" ht="15.75" customHeight="1" x14ac:dyDescent="0.25">
      <c r="A28" s="3" t="s">
        <v>57</v>
      </c>
      <c r="B28" s="3" t="s">
        <v>581</v>
      </c>
      <c r="C28" s="3">
        <v>67</v>
      </c>
      <c r="D28" s="3" t="s">
        <v>582</v>
      </c>
    </row>
    <row r="29" spans="1:4" ht="15.75" customHeight="1" x14ac:dyDescent="0.25">
      <c r="A29" s="3" t="s">
        <v>58</v>
      </c>
      <c r="B29" s="3"/>
      <c r="C29" s="3">
        <v>9</v>
      </c>
      <c r="D29" s="3" t="s">
        <v>583</v>
      </c>
    </row>
    <row r="30" spans="1:4" ht="15.75" customHeight="1" x14ac:dyDescent="0.25">
      <c r="A30" s="3" t="s">
        <v>60</v>
      </c>
      <c r="B30" s="3"/>
      <c r="C30" s="3">
        <v>11</v>
      </c>
      <c r="D30" s="3" t="s">
        <v>584</v>
      </c>
    </row>
    <row r="31" spans="1:4" ht="15.75" customHeight="1" x14ac:dyDescent="0.25">
      <c r="A31" s="3" t="s">
        <v>61</v>
      </c>
      <c r="B31" s="3" t="s">
        <v>585</v>
      </c>
      <c r="C31" s="3">
        <v>6</v>
      </c>
      <c r="D31" s="3" t="s">
        <v>586</v>
      </c>
    </row>
    <row r="32" spans="1:4" ht="15.75" customHeight="1" x14ac:dyDescent="0.25">
      <c r="A32" s="3" t="s">
        <v>63</v>
      </c>
      <c r="B32" s="3"/>
      <c r="C32" s="3">
        <v>7</v>
      </c>
      <c r="D32" s="3" t="s">
        <v>587</v>
      </c>
    </row>
    <row r="33" spans="1:4" ht="15.75" customHeight="1" x14ac:dyDescent="0.25">
      <c r="A33" s="3" t="s">
        <v>65</v>
      </c>
      <c r="B33" s="3"/>
      <c r="C33" s="3">
        <v>1</v>
      </c>
      <c r="D33" s="3" t="s">
        <v>133</v>
      </c>
    </row>
    <row r="34" spans="1:4" ht="15.75" customHeight="1" x14ac:dyDescent="0.25">
      <c r="A34" s="3" t="s">
        <v>66</v>
      </c>
      <c r="B34" s="3"/>
      <c r="C34" s="3">
        <v>1</v>
      </c>
      <c r="D34" s="3" t="s">
        <v>129</v>
      </c>
    </row>
    <row r="35" spans="1:4" ht="15.75" customHeight="1" x14ac:dyDescent="0.25">
      <c r="A35" s="3" t="s">
        <v>68</v>
      </c>
      <c r="B35" s="3" t="s">
        <v>588</v>
      </c>
      <c r="C35" s="3">
        <v>21</v>
      </c>
      <c r="D35" s="3" t="s">
        <v>589</v>
      </c>
    </row>
    <row r="36" spans="1:4" ht="15.75" customHeight="1" x14ac:dyDescent="0.25">
      <c r="A36" s="3" t="s">
        <v>69</v>
      </c>
      <c r="B36" s="3"/>
      <c r="C36" s="3">
        <v>8</v>
      </c>
      <c r="D36" s="3" t="s">
        <v>590</v>
      </c>
    </row>
    <row r="37" spans="1:4" ht="15.75" customHeight="1" x14ac:dyDescent="0.25">
      <c r="A37" s="3" t="s">
        <v>71</v>
      </c>
      <c r="B37" s="3" t="s">
        <v>591</v>
      </c>
      <c r="C37" s="3">
        <v>26</v>
      </c>
      <c r="D37" s="3" t="s">
        <v>592</v>
      </c>
    </row>
    <row r="38" spans="1:4" ht="15.75" customHeight="1" x14ac:dyDescent="0.25">
      <c r="A38" s="3" t="s">
        <v>73</v>
      </c>
      <c r="B38" s="3"/>
      <c r="C38" s="3">
        <v>2</v>
      </c>
      <c r="D38" s="3" t="s">
        <v>593</v>
      </c>
    </row>
    <row r="39" spans="1:4" ht="15" x14ac:dyDescent="0.25">
      <c r="A39" s="3" t="s">
        <v>74</v>
      </c>
      <c r="B39" s="3"/>
      <c r="C39" s="3">
        <v>8</v>
      </c>
      <c r="D39" s="3" t="s">
        <v>594</v>
      </c>
    </row>
    <row r="40" spans="1:4" ht="15" x14ac:dyDescent="0.25">
      <c r="A40" s="3" t="s">
        <v>76</v>
      </c>
      <c r="B40" s="3"/>
      <c r="C40" s="3">
        <v>1</v>
      </c>
      <c r="D40" s="3" t="s">
        <v>135</v>
      </c>
    </row>
    <row r="41" spans="1:4" ht="15" x14ac:dyDescent="0.25">
      <c r="A41" s="3" t="s">
        <v>77</v>
      </c>
      <c r="B41" s="3"/>
      <c r="C41" s="3">
        <v>8</v>
      </c>
      <c r="D41" s="3" t="s">
        <v>596</v>
      </c>
    </row>
    <row r="42" spans="1:4" ht="15" x14ac:dyDescent="0.25">
      <c r="A42" s="3" t="s">
        <v>79</v>
      </c>
      <c r="B42" s="3" t="s">
        <v>597</v>
      </c>
      <c r="C42" s="3">
        <v>13</v>
      </c>
      <c r="D42" s="3" t="s">
        <v>598</v>
      </c>
    </row>
    <row r="43" spans="1:4" ht="15" x14ac:dyDescent="0.25">
      <c r="A43" s="3" t="s">
        <v>80</v>
      </c>
      <c r="B43" s="3" t="s">
        <v>599</v>
      </c>
      <c r="C43" s="3">
        <v>1</v>
      </c>
      <c r="D43" s="3" t="s">
        <v>319</v>
      </c>
    </row>
    <row r="44" spans="1:4" ht="15" x14ac:dyDescent="0.25">
      <c r="A44" s="3" t="s">
        <v>82</v>
      </c>
      <c r="B44" s="3"/>
      <c r="C44" s="3">
        <v>2</v>
      </c>
      <c r="D44" s="3" t="s">
        <v>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295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24.85546875" customWidth="1"/>
    <col min="2" max="2" width="25.28515625" customWidth="1"/>
  </cols>
  <sheetData>
    <row r="1" spans="1:2" x14ac:dyDescent="0.2">
      <c r="A1" s="7" t="s">
        <v>2</v>
      </c>
      <c r="B1" s="7" t="s">
        <v>1</v>
      </c>
    </row>
    <row r="2" spans="1:2" x14ac:dyDescent="0.2">
      <c r="A2" s="7" t="s">
        <v>607</v>
      </c>
      <c r="B2" s="7" t="s">
        <v>466</v>
      </c>
    </row>
    <row r="3" spans="1:2" x14ac:dyDescent="0.2">
      <c r="A3" s="7" t="s">
        <v>441</v>
      </c>
      <c r="B3" s="7" t="s">
        <v>207</v>
      </c>
    </row>
    <row r="4" spans="1:2" x14ac:dyDescent="0.2">
      <c r="B4" s="7" t="s">
        <v>11</v>
      </c>
    </row>
    <row r="5" spans="1:2" x14ac:dyDescent="0.2">
      <c r="B5" s="7" t="s">
        <v>349</v>
      </c>
    </row>
    <row r="6" spans="1:2" x14ac:dyDescent="0.2">
      <c r="B6" s="7" t="s">
        <v>243</v>
      </c>
    </row>
    <row r="7" spans="1:2" x14ac:dyDescent="0.2">
      <c r="B7" s="7" t="s">
        <v>139</v>
      </c>
    </row>
    <row r="8" spans="1:2" x14ac:dyDescent="0.2">
      <c r="B8" s="7" t="s">
        <v>449</v>
      </c>
    </row>
    <row r="9" spans="1:2" x14ac:dyDescent="0.2">
      <c r="B9" s="7" t="s">
        <v>451</v>
      </c>
    </row>
    <row r="10" spans="1:2" x14ac:dyDescent="0.2">
      <c r="B10" s="7" t="s">
        <v>43</v>
      </c>
    </row>
    <row r="11" spans="1:2" x14ac:dyDescent="0.2">
      <c r="B11" s="7" t="s">
        <v>417</v>
      </c>
    </row>
    <row r="12" spans="1:2" x14ac:dyDescent="0.2">
      <c r="B12" s="7" t="s">
        <v>108</v>
      </c>
    </row>
    <row r="13" spans="1:2" x14ac:dyDescent="0.2">
      <c r="B13" s="7" t="s">
        <v>111</v>
      </c>
    </row>
    <row r="14" spans="1:2" x14ac:dyDescent="0.2">
      <c r="B14" s="7" t="s">
        <v>114</v>
      </c>
    </row>
    <row r="15" spans="1:2" x14ac:dyDescent="0.2">
      <c r="B15" s="7" t="s">
        <v>265</v>
      </c>
    </row>
    <row r="16" spans="1:2" x14ac:dyDescent="0.2">
      <c r="B16" s="7" t="s">
        <v>87</v>
      </c>
    </row>
    <row r="17" spans="1:2" x14ac:dyDescent="0.2">
      <c r="B17" s="7" t="s">
        <v>95</v>
      </c>
    </row>
    <row r="18" spans="1:2" x14ac:dyDescent="0.2">
      <c r="B18" s="7" t="s">
        <v>275</v>
      </c>
    </row>
    <row r="19" spans="1:2" x14ac:dyDescent="0.2">
      <c r="B19" s="7" t="s">
        <v>145</v>
      </c>
    </row>
    <row r="20" spans="1:2" x14ac:dyDescent="0.2">
      <c r="B20" s="7" t="s">
        <v>182</v>
      </c>
    </row>
    <row r="21" spans="1:2" x14ac:dyDescent="0.2">
      <c r="A21" s="7" t="s">
        <v>609</v>
      </c>
      <c r="B21" s="7" t="s">
        <v>13</v>
      </c>
    </row>
    <row r="22" spans="1:2" x14ac:dyDescent="0.2">
      <c r="B22" s="7" t="s">
        <v>289</v>
      </c>
    </row>
    <row r="23" spans="1:2" x14ac:dyDescent="0.2">
      <c r="B23" s="7" t="s">
        <v>296</v>
      </c>
    </row>
    <row r="24" spans="1:2" x14ac:dyDescent="0.2">
      <c r="B24" s="7" t="s">
        <v>314</v>
      </c>
    </row>
    <row r="25" spans="1:2" x14ac:dyDescent="0.2">
      <c r="B25" s="7" t="s">
        <v>610</v>
      </c>
    </row>
    <row r="26" spans="1:2" x14ac:dyDescent="0.2">
      <c r="B26" s="7" t="s">
        <v>611</v>
      </c>
    </row>
    <row r="27" spans="1:2" x14ac:dyDescent="0.2">
      <c r="B27" s="7" t="s">
        <v>180</v>
      </c>
    </row>
    <row r="28" spans="1:2" x14ac:dyDescent="0.2">
      <c r="B28" s="7" t="s">
        <v>64</v>
      </c>
    </row>
    <row r="29" spans="1:2" x14ac:dyDescent="0.2">
      <c r="B29" s="7" t="s">
        <v>323</v>
      </c>
    </row>
    <row r="30" spans="1:2" x14ac:dyDescent="0.2">
      <c r="B30" s="7" t="s">
        <v>527</v>
      </c>
    </row>
    <row r="31" spans="1:2" x14ac:dyDescent="0.2">
      <c r="B31" s="7" t="s">
        <v>266</v>
      </c>
    </row>
    <row r="32" spans="1:2" x14ac:dyDescent="0.2">
      <c r="A32" s="7" t="s">
        <v>612</v>
      </c>
      <c r="B32" s="7" t="s">
        <v>246</v>
      </c>
    </row>
    <row r="33" spans="1:2" x14ac:dyDescent="0.2">
      <c r="B33" s="7" t="s">
        <v>260</v>
      </c>
    </row>
    <row r="34" spans="1:2" x14ac:dyDescent="0.2">
      <c r="B34" s="7" t="s">
        <v>201</v>
      </c>
    </row>
    <row r="35" spans="1:2" x14ac:dyDescent="0.2">
      <c r="A35" s="7" t="s">
        <v>234</v>
      </c>
      <c r="B35" s="7" t="s">
        <v>233</v>
      </c>
    </row>
    <row r="36" spans="1:2" x14ac:dyDescent="0.2">
      <c r="B36" s="7" t="s">
        <v>207</v>
      </c>
    </row>
    <row r="37" spans="1:2" x14ac:dyDescent="0.2">
      <c r="B37" s="7" t="s">
        <v>278</v>
      </c>
    </row>
    <row r="38" spans="1:2" x14ac:dyDescent="0.2">
      <c r="B38" s="7" t="s">
        <v>236</v>
      </c>
    </row>
    <row r="39" spans="1:2" x14ac:dyDescent="0.2">
      <c r="B39" s="7" t="s">
        <v>10</v>
      </c>
    </row>
    <row r="40" spans="1:2" x14ac:dyDescent="0.2">
      <c r="B40" s="7" t="s">
        <v>237</v>
      </c>
    </row>
    <row r="41" spans="1:2" x14ac:dyDescent="0.2">
      <c r="B41" s="7" t="s">
        <v>186</v>
      </c>
    </row>
    <row r="42" spans="1:2" x14ac:dyDescent="0.2">
      <c r="B42" s="7" t="s">
        <v>187</v>
      </c>
    </row>
    <row r="43" spans="1:2" x14ac:dyDescent="0.2">
      <c r="B43" s="7" t="s">
        <v>127</v>
      </c>
    </row>
    <row r="44" spans="1:2" x14ac:dyDescent="0.2">
      <c r="B44" s="7" t="s">
        <v>210</v>
      </c>
    </row>
    <row r="45" spans="1:2" x14ac:dyDescent="0.2">
      <c r="B45" s="7" t="s">
        <v>238</v>
      </c>
    </row>
    <row r="46" spans="1:2" x14ac:dyDescent="0.2">
      <c r="B46" s="7" t="s">
        <v>239</v>
      </c>
    </row>
    <row r="47" spans="1:2" x14ac:dyDescent="0.2">
      <c r="B47" s="7" t="s">
        <v>20</v>
      </c>
    </row>
    <row r="48" spans="1:2" x14ac:dyDescent="0.2">
      <c r="B48" s="7" t="s">
        <v>241</v>
      </c>
    </row>
    <row r="49" spans="2:2" x14ac:dyDescent="0.2">
      <c r="B49" s="7" t="s">
        <v>242</v>
      </c>
    </row>
    <row r="50" spans="2:2" x14ac:dyDescent="0.2">
      <c r="B50" s="7" t="s">
        <v>243</v>
      </c>
    </row>
    <row r="51" spans="2:2" x14ac:dyDescent="0.2">
      <c r="B51" s="7" t="s">
        <v>244</v>
      </c>
    </row>
    <row r="52" spans="2:2" x14ac:dyDescent="0.2">
      <c r="B52" s="7" t="s">
        <v>139</v>
      </c>
    </row>
    <row r="53" spans="2:2" x14ac:dyDescent="0.2">
      <c r="B53" s="7" t="s">
        <v>246</v>
      </c>
    </row>
    <row r="54" spans="2:2" x14ac:dyDescent="0.2">
      <c r="B54" s="7" t="s">
        <v>247</v>
      </c>
    </row>
    <row r="55" spans="2:2" x14ac:dyDescent="0.2">
      <c r="B55" s="7" t="s">
        <v>249</v>
      </c>
    </row>
    <row r="56" spans="2:2" x14ac:dyDescent="0.2">
      <c r="B56" s="7" t="s">
        <v>250</v>
      </c>
    </row>
    <row r="57" spans="2:2" x14ac:dyDescent="0.2">
      <c r="B57" s="7" t="s">
        <v>251</v>
      </c>
    </row>
    <row r="58" spans="2:2" x14ac:dyDescent="0.2">
      <c r="B58" s="7" t="s">
        <v>253</v>
      </c>
    </row>
    <row r="59" spans="2:2" x14ac:dyDescent="0.2">
      <c r="B59" s="7" t="s">
        <v>254</v>
      </c>
    </row>
    <row r="60" spans="2:2" x14ac:dyDescent="0.2">
      <c r="B60" s="7" t="s">
        <v>255</v>
      </c>
    </row>
    <row r="61" spans="2:2" x14ac:dyDescent="0.2">
      <c r="B61" s="7" t="s">
        <v>229</v>
      </c>
    </row>
    <row r="62" spans="2:2" x14ac:dyDescent="0.2">
      <c r="B62" s="7" t="s">
        <v>256</v>
      </c>
    </row>
    <row r="63" spans="2:2" x14ac:dyDescent="0.2">
      <c r="B63" s="7" t="s">
        <v>41</v>
      </c>
    </row>
    <row r="64" spans="2:2" x14ac:dyDescent="0.2">
      <c r="B64" s="7" t="s">
        <v>43</v>
      </c>
    </row>
    <row r="65" spans="2:2" x14ac:dyDescent="0.2">
      <c r="B65" s="7" t="s">
        <v>198</v>
      </c>
    </row>
    <row r="66" spans="2:2" x14ac:dyDescent="0.2">
      <c r="B66" s="7" t="s">
        <v>221</v>
      </c>
    </row>
    <row r="67" spans="2:2" x14ac:dyDescent="0.2">
      <c r="B67" s="7" t="s">
        <v>200</v>
      </c>
    </row>
    <row r="68" spans="2:2" x14ac:dyDescent="0.2">
      <c r="B68" s="7" t="s">
        <v>259</v>
      </c>
    </row>
    <row r="69" spans="2:2" x14ac:dyDescent="0.2">
      <c r="B69" s="7" t="s">
        <v>260</v>
      </c>
    </row>
    <row r="70" spans="2:2" x14ac:dyDescent="0.2">
      <c r="B70" s="7" t="s">
        <v>215</v>
      </c>
    </row>
    <row r="71" spans="2:2" x14ac:dyDescent="0.2">
      <c r="B71" s="7" t="s">
        <v>261</v>
      </c>
    </row>
    <row r="72" spans="2:2" x14ac:dyDescent="0.2">
      <c r="B72" s="7" t="s">
        <v>262</v>
      </c>
    </row>
    <row r="73" spans="2:2" x14ac:dyDescent="0.2">
      <c r="B73" s="7" t="s">
        <v>263</v>
      </c>
    </row>
    <row r="74" spans="2:2" x14ac:dyDescent="0.2">
      <c r="B74" s="7" t="s">
        <v>264</v>
      </c>
    </row>
    <row r="75" spans="2:2" x14ac:dyDescent="0.2">
      <c r="B75" s="7" t="s">
        <v>67</v>
      </c>
    </row>
    <row r="76" spans="2:2" x14ac:dyDescent="0.2">
      <c r="B76" s="7" t="s">
        <v>201</v>
      </c>
    </row>
    <row r="77" spans="2:2" x14ac:dyDescent="0.2">
      <c r="B77" s="7" t="s">
        <v>265</v>
      </c>
    </row>
    <row r="78" spans="2:2" x14ac:dyDescent="0.2">
      <c r="B78" s="7" t="s">
        <v>158</v>
      </c>
    </row>
    <row r="79" spans="2:2" x14ac:dyDescent="0.2">
      <c r="B79" s="7" t="s">
        <v>266</v>
      </c>
    </row>
    <row r="80" spans="2:2" x14ac:dyDescent="0.2">
      <c r="B80" s="7" t="s">
        <v>267</v>
      </c>
    </row>
    <row r="81" spans="1:2" x14ac:dyDescent="0.2">
      <c r="B81" s="7" t="s">
        <v>268</v>
      </c>
    </row>
    <row r="82" spans="1:2" x14ac:dyDescent="0.2">
      <c r="B82" s="7" t="s">
        <v>92</v>
      </c>
    </row>
    <row r="83" spans="1:2" x14ac:dyDescent="0.2">
      <c r="B83" s="7" t="s">
        <v>117</v>
      </c>
    </row>
    <row r="84" spans="1:2" x14ac:dyDescent="0.2">
      <c r="B84" s="7" t="s">
        <v>269</v>
      </c>
    </row>
    <row r="85" spans="1:2" x14ac:dyDescent="0.2">
      <c r="B85" s="7" t="s">
        <v>161</v>
      </c>
    </row>
    <row r="86" spans="1:2" x14ac:dyDescent="0.2">
      <c r="B86" s="7" t="s">
        <v>270</v>
      </c>
    </row>
    <row r="87" spans="1:2" x14ac:dyDescent="0.2">
      <c r="B87" s="7" t="s">
        <v>272</v>
      </c>
    </row>
    <row r="88" spans="1:2" x14ac:dyDescent="0.2">
      <c r="B88" s="7" t="s">
        <v>273</v>
      </c>
    </row>
    <row r="89" spans="1:2" x14ac:dyDescent="0.2">
      <c r="B89" s="7" t="s">
        <v>100</v>
      </c>
    </row>
    <row r="90" spans="1:2" x14ac:dyDescent="0.2">
      <c r="B90" s="7" t="s">
        <v>275</v>
      </c>
    </row>
    <row r="91" spans="1:2" x14ac:dyDescent="0.2">
      <c r="B91" s="7" t="s">
        <v>276</v>
      </c>
    </row>
    <row r="92" spans="1:2" x14ac:dyDescent="0.2">
      <c r="B92" s="7" t="s">
        <v>182</v>
      </c>
    </row>
    <row r="93" spans="1:2" x14ac:dyDescent="0.2">
      <c r="B93" s="7" t="s">
        <v>122</v>
      </c>
    </row>
    <row r="94" spans="1:2" x14ac:dyDescent="0.2">
      <c r="A94" s="7" t="s">
        <v>617</v>
      </c>
      <c r="B94" s="7" t="s">
        <v>281</v>
      </c>
    </row>
    <row r="95" spans="1:2" x14ac:dyDescent="0.2">
      <c r="B95" s="7" t="s">
        <v>284</v>
      </c>
    </row>
    <row r="96" spans="1:2" x14ac:dyDescent="0.2">
      <c r="B96" s="7" t="s">
        <v>188</v>
      </c>
    </row>
    <row r="97" spans="2:2" x14ac:dyDescent="0.2">
      <c r="B97" s="7" t="s">
        <v>285</v>
      </c>
    </row>
    <row r="98" spans="2:2" x14ac:dyDescent="0.2">
      <c r="B98" s="7" t="s">
        <v>410</v>
      </c>
    </row>
    <row r="99" spans="2:2" x14ac:dyDescent="0.2">
      <c r="B99" s="7" t="s">
        <v>12</v>
      </c>
    </row>
    <row r="100" spans="2:2" x14ac:dyDescent="0.2">
      <c r="B100" s="7" t="s">
        <v>484</v>
      </c>
    </row>
    <row r="101" spans="2:2" x14ac:dyDescent="0.2">
      <c r="B101" s="7" t="s">
        <v>190</v>
      </c>
    </row>
    <row r="102" spans="2:2" x14ac:dyDescent="0.2">
      <c r="B102" s="7" t="s">
        <v>533</v>
      </c>
    </row>
    <row r="103" spans="2:2" x14ac:dyDescent="0.2">
      <c r="B103" s="7" t="s">
        <v>249</v>
      </c>
    </row>
    <row r="104" spans="2:2" x14ac:dyDescent="0.2">
      <c r="B104" s="7" t="s">
        <v>31</v>
      </c>
    </row>
    <row r="105" spans="2:2" x14ac:dyDescent="0.2">
      <c r="B105" s="7" t="s">
        <v>564</v>
      </c>
    </row>
    <row r="106" spans="2:2" x14ac:dyDescent="0.2">
      <c r="B106" s="7" t="s">
        <v>449</v>
      </c>
    </row>
    <row r="107" spans="2:2" x14ac:dyDescent="0.2">
      <c r="B107" s="7" t="s">
        <v>194</v>
      </c>
    </row>
    <row r="108" spans="2:2" x14ac:dyDescent="0.2">
      <c r="B108" s="7" t="s">
        <v>36</v>
      </c>
    </row>
    <row r="109" spans="2:2" x14ac:dyDescent="0.2">
      <c r="B109" s="7" t="s">
        <v>128</v>
      </c>
    </row>
    <row r="110" spans="2:2" x14ac:dyDescent="0.2">
      <c r="B110" s="7" t="s">
        <v>313</v>
      </c>
    </row>
    <row r="111" spans="2:2" x14ac:dyDescent="0.2">
      <c r="B111" s="7" t="s">
        <v>317</v>
      </c>
    </row>
    <row r="112" spans="2:2" x14ac:dyDescent="0.2">
      <c r="B112" s="7" t="s">
        <v>108</v>
      </c>
    </row>
    <row r="113" spans="1:2" x14ac:dyDescent="0.2">
      <c r="B113" s="7" t="s">
        <v>111</v>
      </c>
    </row>
    <row r="114" spans="1:2" x14ac:dyDescent="0.2">
      <c r="B114" s="7" t="s">
        <v>321</v>
      </c>
    </row>
    <row r="115" spans="1:2" x14ac:dyDescent="0.2">
      <c r="B115" s="7" t="s">
        <v>323</v>
      </c>
    </row>
    <row r="116" spans="1:2" x14ac:dyDescent="0.2">
      <c r="B116" s="7" t="s">
        <v>527</v>
      </c>
    </row>
    <row r="117" spans="1:2" x14ac:dyDescent="0.2">
      <c r="B117" s="7" t="s">
        <v>97</v>
      </c>
    </row>
    <row r="118" spans="1:2" x14ac:dyDescent="0.2">
      <c r="B118" s="7" t="s">
        <v>163</v>
      </c>
    </row>
    <row r="119" spans="1:2" x14ac:dyDescent="0.2">
      <c r="B119" s="7" t="s">
        <v>595</v>
      </c>
    </row>
    <row r="120" spans="1:2" x14ac:dyDescent="0.2">
      <c r="B120" s="7" t="s">
        <v>333</v>
      </c>
    </row>
    <row r="121" spans="1:2" x14ac:dyDescent="0.2">
      <c r="A121" s="7" t="s">
        <v>531</v>
      </c>
      <c r="B121" s="7" t="s">
        <v>207</v>
      </c>
    </row>
    <row r="122" spans="1:2" x14ac:dyDescent="0.2">
      <c r="B122" s="7" t="s">
        <v>278</v>
      </c>
    </row>
    <row r="123" spans="1:2" x14ac:dyDescent="0.2">
      <c r="B123" s="7" t="s">
        <v>124</v>
      </c>
    </row>
    <row r="124" spans="1:2" x14ac:dyDescent="0.2">
      <c r="B124" s="7" t="s">
        <v>186</v>
      </c>
    </row>
    <row r="125" spans="1:2" x14ac:dyDescent="0.2">
      <c r="B125" s="7" t="s">
        <v>127</v>
      </c>
    </row>
    <row r="126" spans="1:2" x14ac:dyDescent="0.2">
      <c r="B126" s="7" t="s">
        <v>11</v>
      </c>
    </row>
    <row r="127" spans="1:2" x14ac:dyDescent="0.2">
      <c r="B127" s="7" t="s">
        <v>410</v>
      </c>
    </row>
    <row r="128" spans="1:2" x14ac:dyDescent="0.2">
      <c r="B128" s="7" t="s">
        <v>164</v>
      </c>
    </row>
    <row r="129" spans="2:2" x14ac:dyDescent="0.2">
      <c r="B129" s="7" t="s">
        <v>129</v>
      </c>
    </row>
    <row r="130" spans="2:2" x14ac:dyDescent="0.2">
      <c r="B130" s="7" t="s">
        <v>13</v>
      </c>
    </row>
    <row r="131" spans="2:2" x14ac:dyDescent="0.2">
      <c r="B131" s="7" t="s">
        <v>349</v>
      </c>
    </row>
    <row r="132" spans="2:2" x14ac:dyDescent="0.2">
      <c r="B132" s="7" t="s">
        <v>532</v>
      </c>
    </row>
    <row r="133" spans="2:2" x14ac:dyDescent="0.2">
      <c r="B133" s="7" t="s">
        <v>431</v>
      </c>
    </row>
    <row r="134" spans="2:2" x14ac:dyDescent="0.2">
      <c r="B134" s="7" t="s">
        <v>295</v>
      </c>
    </row>
    <row r="135" spans="2:2" x14ac:dyDescent="0.2">
      <c r="B135" s="7" t="s">
        <v>16</v>
      </c>
    </row>
    <row r="136" spans="2:2" x14ac:dyDescent="0.2">
      <c r="B136" s="7" t="s">
        <v>533</v>
      </c>
    </row>
    <row r="137" spans="2:2" x14ac:dyDescent="0.2">
      <c r="B137" s="7" t="s">
        <v>244</v>
      </c>
    </row>
    <row r="138" spans="2:2" x14ac:dyDescent="0.2">
      <c r="B138" s="7" t="s">
        <v>139</v>
      </c>
    </row>
    <row r="139" spans="2:2" x14ac:dyDescent="0.2">
      <c r="B139" s="7" t="s">
        <v>191</v>
      </c>
    </row>
    <row r="140" spans="2:2" x14ac:dyDescent="0.2">
      <c r="B140" s="7" t="s">
        <v>350</v>
      </c>
    </row>
    <row r="141" spans="2:2" x14ac:dyDescent="0.2">
      <c r="B141" s="7" t="s">
        <v>255</v>
      </c>
    </row>
    <row r="142" spans="2:2" x14ac:dyDescent="0.2">
      <c r="B142" s="7" t="s">
        <v>256</v>
      </c>
    </row>
    <row r="143" spans="2:2" x14ac:dyDescent="0.2">
      <c r="B143" s="7" t="s">
        <v>43</v>
      </c>
    </row>
    <row r="144" spans="2:2" x14ac:dyDescent="0.2">
      <c r="B144" s="7" t="s">
        <v>220</v>
      </c>
    </row>
    <row r="145" spans="1:2" x14ac:dyDescent="0.2">
      <c r="B145" s="7" t="s">
        <v>314</v>
      </c>
    </row>
    <row r="146" spans="1:2" x14ac:dyDescent="0.2">
      <c r="B146" s="7" t="s">
        <v>364</v>
      </c>
    </row>
    <row r="147" spans="1:2" x14ac:dyDescent="0.2">
      <c r="B147" s="7" t="s">
        <v>417</v>
      </c>
    </row>
    <row r="148" spans="1:2" x14ac:dyDescent="0.2">
      <c r="B148" s="7" t="s">
        <v>223</v>
      </c>
    </row>
    <row r="149" spans="1:2" x14ac:dyDescent="0.2">
      <c r="B149" s="7" t="s">
        <v>337</v>
      </c>
    </row>
    <row r="150" spans="1:2" x14ac:dyDescent="0.2">
      <c r="B150" s="7" t="s">
        <v>150</v>
      </c>
    </row>
    <row r="151" spans="1:2" x14ac:dyDescent="0.2">
      <c r="B151" s="7" t="s">
        <v>81</v>
      </c>
    </row>
    <row r="152" spans="1:2" x14ac:dyDescent="0.2">
      <c r="B152" s="7" t="s">
        <v>391</v>
      </c>
    </row>
    <row r="153" spans="1:2" x14ac:dyDescent="0.2">
      <c r="B153" s="7" t="s">
        <v>534</v>
      </c>
    </row>
    <row r="154" spans="1:2" x14ac:dyDescent="0.2">
      <c r="B154" s="7" t="s">
        <v>327</v>
      </c>
    </row>
    <row r="155" spans="1:2" x14ac:dyDescent="0.2">
      <c r="B155" s="7" t="s">
        <v>162</v>
      </c>
    </row>
    <row r="156" spans="1:2" x14ac:dyDescent="0.2">
      <c r="B156" s="7" t="s">
        <v>163</v>
      </c>
    </row>
    <row r="157" spans="1:2" x14ac:dyDescent="0.2">
      <c r="B157" s="7" t="s">
        <v>277</v>
      </c>
    </row>
    <row r="158" spans="1:2" x14ac:dyDescent="0.2">
      <c r="B158" s="7" t="s">
        <v>98</v>
      </c>
    </row>
    <row r="159" spans="1:2" x14ac:dyDescent="0.2">
      <c r="B159" s="7" t="s">
        <v>275</v>
      </c>
    </row>
    <row r="160" spans="1:2" x14ac:dyDescent="0.2">
      <c r="A160" s="7" t="s">
        <v>535</v>
      </c>
      <c r="B160" s="7" t="s">
        <v>103</v>
      </c>
    </row>
    <row r="161" spans="2:2" x14ac:dyDescent="0.2">
      <c r="B161" s="7" t="s">
        <v>185</v>
      </c>
    </row>
    <row r="162" spans="2:2" x14ac:dyDescent="0.2">
      <c r="B162" s="7" t="s">
        <v>190</v>
      </c>
    </row>
    <row r="163" spans="2:2" x14ac:dyDescent="0.2">
      <c r="B163" s="7" t="s">
        <v>106</v>
      </c>
    </row>
    <row r="164" spans="2:2" x14ac:dyDescent="0.2">
      <c r="B164" s="7" t="s">
        <v>536</v>
      </c>
    </row>
    <row r="165" spans="2:2" x14ac:dyDescent="0.2">
      <c r="B165" s="7" t="s">
        <v>27</v>
      </c>
    </row>
    <row r="166" spans="2:2" x14ac:dyDescent="0.2">
      <c r="B166" s="7" t="s">
        <v>246</v>
      </c>
    </row>
    <row r="167" spans="2:2" x14ac:dyDescent="0.2">
      <c r="B167" s="7" t="s">
        <v>247</v>
      </c>
    </row>
    <row r="168" spans="2:2" x14ac:dyDescent="0.2">
      <c r="B168" s="7" t="s">
        <v>492</v>
      </c>
    </row>
    <row r="169" spans="2:2" x14ac:dyDescent="0.2">
      <c r="B169" s="7" t="s">
        <v>449</v>
      </c>
    </row>
    <row r="170" spans="2:2" x14ac:dyDescent="0.2">
      <c r="B170" s="7" t="s">
        <v>253</v>
      </c>
    </row>
    <row r="171" spans="2:2" x14ac:dyDescent="0.2">
      <c r="B171" s="7" t="s">
        <v>195</v>
      </c>
    </row>
    <row r="172" spans="2:2" x14ac:dyDescent="0.2">
      <c r="B172" s="7" t="s">
        <v>36</v>
      </c>
    </row>
    <row r="173" spans="2:2" x14ac:dyDescent="0.2">
      <c r="B173" s="7" t="s">
        <v>254</v>
      </c>
    </row>
    <row r="174" spans="2:2" x14ac:dyDescent="0.2">
      <c r="B174" s="7" t="s">
        <v>311</v>
      </c>
    </row>
    <row r="175" spans="2:2" x14ac:dyDescent="0.2">
      <c r="B175" s="7" t="s">
        <v>221</v>
      </c>
    </row>
    <row r="176" spans="2:2" x14ac:dyDescent="0.2">
      <c r="B176" s="7" t="s">
        <v>222</v>
      </c>
    </row>
    <row r="177" spans="2:2" x14ac:dyDescent="0.2">
      <c r="B177" s="7" t="s">
        <v>52</v>
      </c>
    </row>
    <row r="178" spans="2:2" x14ac:dyDescent="0.2">
      <c r="B178" s="7" t="s">
        <v>215</v>
      </c>
    </row>
    <row r="179" spans="2:2" x14ac:dyDescent="0.2">
      <c r="B179" s="7" t="s">
        <v>55</v>
      </c>
    </row>
    <row r="180" spans="2:2" x14ac:dyDescent="0.2">
      <c r="B180" s="7" t="s">
        <v>109</v>
      </c>
    </row>
    <row r="181" spans="2:2" x14ac:dyDescent="0.2">
      <c r="B181" s="7" t="s">
        <v>111</v>
      </c>
    </row>
    <row r="182" spans="2:2" x14ac:dyDescent="0.2">
      <c r="B182" s="7" t="s">
        <v>390</v>
      </c>
    </row>
    <row r="183" spans="2:2" x14ac:dyDescent="0.2">
      <c r="B183" s="7" t="s">
        <v>70</v>
      </c>
    </row>
    <row r="184" spans="2:2" x14ac:dyDescent="0.2">
      <c r="B184" s="7" t="s">
        <v>75</v>
      </c>
    </row>
    <row r="185" spans="2:2" x14ac:dyDescent="0.2">
      <c r="B185" s="7" t="s">
        <v>268</v>
      </c>
    </row>
    <row r="186" spans="2:2" x14ac:dyDescent="0.2">
      <c r="B186" s="7" t="s">
        <v>85</v>
      </c>
    </row>
    <row r="187" spans="2:2" x14ac:dyDescent="0.2">
      <c r="B187" s="7" t="s">
        <v>83</v>
      </c>
    </row>
    <row r="188" spans="2:2" x14ac:dyDescent="0.2">
      <c r="B188" s="7" t="s">
        <v>87</v>
      </c>
    </row>
    <row r="189" spans="2:2" x14ac:dyDescent="0.2">
      <c r="B189" s="7" t="s">
        <v>88</v>
      </c>
    </row>
    <row r="190" spans="2:2" x14ac:dyDescent="0.2">
      <c r="B190" s="7" t="s">
        <v>92</v>
      </c>
    </row>
    <row r="191" spans="2:2" x14ac:dyDescent="0.2">
      <c r="B191" s="7" t="s">
        <v>118</v>
      </c>
    </row>
    <row r="192" spans="2:2" x14ac:dyDescent="0.2">
      <c r="B192" s="7" t="s">
        <v>376</v>
      </c>
    </row>
    <row r="193" spans="1:2" x14ac:dyDescent="0.2">
      <c r="B193" s="7" t="s">
        <v>537</v>
      </c>
    </row>
    <row r="194" spans="1:2" x14ac:dyDescent="0.2">
      <c r="B194" s="7" t="s">
        <v>331</v>
      </c>
    </row>
    <row r="195" spans="1:2" x14ac:dyDescent="0.2">
      <c r="B195" s="7" t="s">
        <v>508</v>
      </c>
    </row>
    <row r="196" spans="1:2" x14ac:dyDescent="0.2">
      <c r="B196" s="7" t="s">
        <v>102</v>
      </c>
    </row>
    <row r="197" spans="1:2" x14ac:dyDescent="0.2">
      <c r="A197" s="7" t="s">
        <v>543</v>
      </c>
      <c r="B197" s="7" t="s">
        <v>207</v>
      </c>
    </row>
    <row r="198" spans="1:2" x14ac:dyDescent="0.2">
      <c r="B198" s="7" t="s">
        <v>8</v>
      </c>
    </row>
    <row r="199" spans="1:2" x14ac:dyDescent="0.2">
      <c r="B199" s="7" t="s">
        <v>187</v>
      </c>
    </row>
    <row r="200" spans="1:2" x14ac:dyDescent="0.2">
      <c r="B200" s="7" t="s">
        <v>188</v>
      </c>
    </row>
    <row r="201" spans="1:2" x14ac:dyDescent="0.2">
      <c r="B201" s="7" t="s">
        <v>410</v>
      </c>
    </row>
    <row r="202" spans="1:2" x14ac:dyDescent="0.2">
      <c r="B202" s="7" t="s">
        <v>164</v>
      </c>
    </row>
    <row r="203" spans="1:2" x14ac:dyDescent="0.2">
      <c r="B203" s="7" t="s">
        <v>129</v>
      </c>
    </row>
    <row r="204" spans="1:2" x14ac:dyDescent="0.2">
      <c r="B204" s="7" t="s">
        <v>211</v>
      </c>
    </row>
    <row r="205" spans="1:2" x14ac:dyDescent="0.2">
      <c r="B205" s="7" t="s">
        <v>532</v>
      </c>
    </row>
    <row r="206" spans="1:2" x14ac:dyDescent="0.2">
      <c r="B206" s="7" t="s">
        <v>431</v>
      </c>
    </row>
    <row r="207" spans="1:2" x14ac:dyDescent="0.2">
      <c r="B207" s="7" t="s">
        <v>170</v>
      </c>
    </row>
    <row r="208" spans="1:2" x14ac:dyDescent="0.2">
      <c r="B208" s="7" t="s">
        <v>244</v>
      </c>
    </row>
    <row r="209" spans="2:2" x14ac:dyDescent="0.2">
      <c r="B209" s="7" t="s">
        <v>139</v>
      </c>
    </row>
    <row r="210" spans="2:2" x14ac:dyDescent="0.2">
      <c r="B210" s="7" t="s">
        <v>191</v>
      </c>
    </row>
    <row r="211" spans="2:2" x14ac:dyDescent="0.2">
      <c r="B211" s="7" t="s">
        <v>146</v>
      </c>
    </row>
    <row r="212" spans="2:2" x14ac:dyDescent="0.2">
      <c r="B212" s="7" t="s">
        <v>128</v>
      </c>
    </row>
    <row r="213" spans="2:2" x14ac:dyDescent="0.2">
      <c r="B213" s="7" t="s">
        <v>255</v>
      </c>
    </row>
    <row r="214" spans="2:2" x14ac:dyDescent="0.2">
      <c r="B214" s="7" t="s">
        <v>256</v>
      </c>
    </row>
    <row r="215" spans="2:2" x14ac:dyDescent="0.2">
      <c r="B215" s="7" t="s">
        <v>38</v>
      </c>
    </row>
    <row r="216" spans="2:2" x14ac:dyDescent="0.2">
      <c r="B216" s="7" t="s">
        <v>46</v>
      </c>
    </row>
    <row r="217" spans="2:2" x14ac:dyDescent="0.2">
      <c r="B217" s="7" t="s">
        <v>545</v>
      </c>
    </row>
    <row r="218" spans="2:2" x14ac:dyDescent="0.2">
      <c r="B218" s="7" t="s">
        <v>419</v>
      </c>
    </row>
    <row r="219" spans="2:2" x14ac:dyDescent="0.2">
      <c r="B219" s="7" t="s">
        <v>223</v>
      </c>
    </row>
    <row r="220" spans="2:2" x14ac:dyDescent="0.2">
      <c r="B220" s="7" t="s">
        <v>337</v>
      </c>
    </row>
    <row r="221" spans="2:2" x14ac:dyDescent="0.2">
      <c r="B221" s="7" t="s">
        <v>318</v>
      </c>
    </row>
    <row r="222" spans="2:2" x14ac:dyDescent="0.2">
      <c r="B222" s="7" t="s">
        <v>59</v>
      </c>
    </row>
    <row r="223" spans="2:2" x14ac:dyDescent="0.2">
      <c r="B223" s="7" t="s">
        <v>225</v>
      </c>
    </row>
    <row r="224" spans="2:2" x14ac:dyDescent="0.2">
      <c r="B224" s="7" t="s">
        <v>81</v>
      </c>
    </row>
    <row r="225" spans="1:2" x14ac:dyDescent="0.2">
      <c r="B225" s="7" t="s">
        <v>391</v>
      </c>
    </row>
    <row r="226" spans="1:2" x14ac:dyDescent="0.2">
      <c r="B226" s="7" t="s">
        <v>534</v>
      </c>
    </row>
    <row r="227" spans="1:2" x14ac:dyDescent="0.2">
      <c r="B227" s="7" t="s">
        <v>355</v>
      </c>
    </row>
    <row r="228" spans="1:2" x14ac:dyDescent="0.2">
      <c r="B228" s="7" t="s">
        <v>245</v>
      </c>
    </row>
    <row r="229" spans="1:2" x14ac:dyDescent="0.2">
      <c r="B229" s="7" t="s">
        <v>273</v>
      </c>
    </row>
    <row r="230" spans="1:2" x14ac:dyDescent="0.2">
      <c r="B230" s="7" t="s">
        <v>539</v>
      </c>
    </row>
    <row r="231" spans="1:2" x14ac:dyDescent="0.2">
      <c r="B231" s="7" t="s">
        <v>230</v>
      </c>
    </row>
    <row r="232" spans="1:2" x14ac:dyDescent="0.2">
      <c r="A232" s="7" t="s">
        <v>509</v>
      </c>
      <c r="B232" s="7" t="s">
        <v>233</v>
      </c>
    </row>
    <row r="233" spans="1:2" x14ac:dyDescent="0.2">
      <c r="B233" s="7" t="s">
        <v>209</v>
      </c>
    </row>
    <row r="234" spans="1:2" x14ac:dyDescent="0.2">
      <c r="B234" s="7" t="s">
        <v>286</v>
      </c>
    </row>
    <row r="235" spans="1:2" x14ac:dyDescent="0.2">
      <c r="B235" s="7" t="s">
        <v>287</v>
      </c>
    </row>
    <row r="236" spans="1:2" x14ac:dyDescent="0.2">
      <c r="B236" s="7" t="s">
        <v>212</v>
      </c>
    </row>
    <row r="237" spans="1:2" x14ac:dyDescent="0.2">
      <c r="B237" s="7" t="s">
        <v>395</v>
      </c>
    </row>
    <row r="238" spans="1:2" x14ac:dyDescent="0.2">
      <c r="B238" s="7" t="s">
        <v>138</v>
      </c>
    </row>
    <row r="239" spans="1:2" x14ac:dyDescent="0.2">
      <c r="B239" s="7" t="s">
        <v>241</v>
      </c>
    </row>
    <row r="240" spans="1:2" x14ac:dyDescent="0.2">
      <c r="B240" s="7" t="s">
        <v>214</v>
      </c>
    </row>
    <row r="241" spans="2:2" x14ac:dyDescent="0.2">
      <c r="B241" s="7" t="s">
        <v>513</v>
      </c>
    </row>
    <row r="242" spans="2:2" x14ac:dyDescent="0.2">
      <c r="B242" s="7" t="s">
        <v>25</v>
      </c>
    </row>
    <row r="243" spans="2:2" x14ac:dyDescent="0.2">
      <c r="B243" s="7" t="s">
        <v>242</v>
      </c>
    </row>
    <row r="244" spans="2:2" x14ac:dyDescent="0.2">
      <c r="B244" s="7" t="s">
        <v>516</v>
      </c>
    </row>
    <row r="245" spans="2:2" x14ac:dyDescent="0.2">
      <c r="B245" s="7" t="s">
        <v>141</v>
      </c>
    </row>
    <row r="246" spans="2:2" x14ac:dyDescent="0.2">
      <c r="B246" s="7" t="s">
        <v>137</v>
      </c>
    </row>
    <row r="247" spans="2:2" x14ac:dyDescent="0.2">
      <c r="B247" s="7" t="s">
        <v>175</v>
      </c>
    </row>
    <row r="248" spans="2:2" x14ac:dyDescent="0.2">
      <c r="B248" s="7" t="s">
        <v>393</v>
      </c>
    </row>
    <row r="249" spans="2:2" x14ac:dyDescent="0.2">
      <c r="B249" s="7" t="s">
        <v>521</v>
      </c>
    </row>
    <row r="250" spans="2:2" x14ac:dyDescent="0.2">
      <c r="B250" s="7" t="s">
        <v>319</v>
      </c>
    </row>
    <row r="251" spans="2:2" x14ac:dyDescent="0.2">
      <c r="B251" s="7" t="s">
        <v>397</v>
      </c>
    </row>
    <row r="252" spans="2:2" x14ac:dyDescent="0.2">
      <c r="B252" s="7" t="s">
        <v>317</v>
      </c>
    </row>
    <row r="253" spans="2:2" x14ac:dyDescent="0.2">
      <c r="B253" s="7" t="s">
        <v>398</v>
      </c>
    </row>
    <row r="254" spans="2:2" x14ac:dyDescent="0.2">
      <c r="B254" s="7" t="s">
        <v>260</v>
      </c>
    </row>
    <row r="255" spans="2:2" x14ac:dyDescent="0.2">
      <c r="B255" s="7" t="s">
        <v>468</v>
      </c>
    </row>
    <row r="256" spans="2:2" x14ac:dyDescent="0.2">
      <c r="B256" s="7" t="s">
        <v>300</v>
      </c>
    </row>
    <row r="257" spans="1:2" x14ac:dyDescent="0.2">
      <c r="B257" s="7" t="s">
        <v>261</v>
      </c>
    </row>
    <row r="258" spans="1:2" x14ac:dyDescent="0.2">
      <c r="B258" s="7" t="s">
        <v>232</v>
      </c>
    </row>
    <row r="259" spans="1:2" x14ac:dyDescent="0.2">
      <c r="B259" s="7" t="s">
        <v>264</v>
      </c>
    </row>
    <row r="260" spans="1:2" x14ac:dyDescent="0.2">
      <c r="B260" s="7" t="s">
        <v>201</v>
      </c>
    </row>
    <row r="261" spans="1:2" x14ac:dyDescent="0.2">
      <c r="B261" s="7" t="s">
        <v>343</v>
      </c>
    </row>
    <row r="262" spans="1:2" x14ac:dyDescent="0.2">
      <c r="B262" s="7" t="s">
        <v>527</v>
      </c>
    </row>
    <row r="263" spans="1:2" x14ac:dyDescent="0.2">
      <c r="B263" s="7" t="s">
        <v>400</v>
      </c>
    </row>
    <row r="264" spans="1:2" x14ac:dyDescent="0.2">
      <c r="B264" s="7" t="s">
        <v>344</v>
      </c>
    </row>
    <row r="265" spans="1:2" x14ac:dyDescent="0.2">
      <c r="B265" s="7" t="s">
        <v>227</v>
      </c>
    </row>
    <row r="266" spans="1:2" x14ac:dyDescent="0.2">
      <c r="B266" s="7" t="s">
        <v>203</v>
      </c>
    </row>
    <row r="267" spans="1:2" x14ac:dyDescent="0.2">
      <c r="B267" s="7" t="s">
        <v>228</v>
      </c>
    </row>
    <row r="268" spans="1:2" x14ac:dyDescent="0.2">
      <c r="B268" s="7" t="s">
        <v>204</v>
      </c>
    </row>
    <row r="269" spans="1:2" x14ac:dyDescent="0.2">
      <c r="B269" s="7" t="s">
        <v>145</v>
      </c>
    </row>
    <row r="270" spans="1:2" x14ac:dyDescent="0.2">
      <c r="B270" s="7" t="s">
        <v>405</v>
      </c>
    </row>
    <row r="271" spans="1:2" x14ac:dyDescent="0.2">
      <c r="B271" s="7" t="s">
        <v>182</v>
      </c>
    </row>
    <row r="272" spans="1:2" x14ac:dyDescent="0.2">
      <c r="A272" s="7" t="s">
        <v>480</v>
      </c>
      <c r="B272" s="7" t="s">
        <v>205</v>
      </c>
    </row>
    <row r="273" spans="2:2" x14ac:dyDescent="0.2">
      <c r="B273" s="7" t="s">
        <v>10</v>
      </c>
    </row>
    <row r="274" spans="2:2" x14ac:dyDescent="0.2">
      <c r="B274" s="7" t="s">
        <v>185</v>
      </c>
    </row>
    <row r="275" spans="2:2" x14ac:dyDescent="0.2">
      <c r="B275" s="7" t="s">
        <v>484</v>
      </c>
    </row>
    <row r="276" spans="2:2" x14ac:dyDescent="0.2">
      <c r="B276" s="7" t="s">
        <v>106</v>
      </c>
    </row>
    <row r="277" spans="2:2" x14ac:dyDescent="0.2">
      <c r="B277" s="7" t="s">
        <v>486</v>
      </c>
    </row>
    <row r="278" spans="2:2" x14ac:dyDescent="0.2">
      <c r="B278" s="7" t="s">
        <v>388</v>
      </c>
    </row>
    <row r="279" spans="2:2" x14ac:dyDescent="0.2">
      <c r="B279" s="7" t="s">
        <v>18</v>
      </c>
    </row>
    <row r="280" spans="2:2" x14ac:dyDescent="0.2">
      <c r="B280" s="7" t="s">
        <v>193</v>
      </c>
    </row>
    <row r="281" spans="2:2" x14ac:dyDescent="0.2">
      <c r="B281" s="7" t="s">
        <v>492</v>
      </c>
    </row>
    <row r="282" spans="2:2" x14ac:dyDescent="0.2">
      <c r="B282" s="7" t="s">
        <v>449</v>
      </c>
    </row>
    <row r="283" spans="2:2" x14ac:dyDescent="0.2">
      <c r="B283" s="7" t="s">
        <v>195</v>
      </c>
    </row>
    <row r="284" spans="2:2" x14ac:dyDescent="0.2">
      <c r="B284" s="7" t="s">
        <v>451</v>
      </c>
    </row>
    <row r="285" spans="2:2" x14ac:dyDescent="0.2">
      <c r="B285" s="7" t="s">
        <v>254</v>
      </c>
    </row>
    <row r="286" spans="2:2" x14ac:dyDescent="0.2">
      <c r="B286" s="7" t="s">
        <v>107</v>
      </c>
    </row>
    <row r="287" spans="2:2" x14ac:dyDescent="0.2">
      <c r="B287" s="7" t="s">
        <v>198</v>
      </c>
    </row>
    <row r="288" spans="2:2" x14ac:dyDescent="0.2">
      <c r="B288" s="7" t="s">
        <v>310</v>
      </c>
    </row>
    <row r="289" spans="2:2" x14ac:dyDescent="0.2">
      <c r="B289" s="7" t="s">
        <v>221</v>
      </c>
    </row>
    <row r="290" spans="2:2" x14ac:dyDescent="0.2">
      <c r="B290" s="7" t="s">
        <v>222</v>
      </c>
    </row>
    <row r="291" spans="2:2" x14ac:dyDescent="0.2">
      <c r="B291" s="7" t="s">
        <v>177</v>
      </c>
    </row>
    <row r="292" spans="2:2" x14ac:dyDescent="0.2">
      <c r="B292" s="7" t="s">
        <v>52</v>
      </c>
    </row>
    <row r="293" spans="2:2" x14ac:dyDescent="0.2">
      <c r="B293" s="7" t="s">
        <v>215</v>
      </c>
    </row>
    <row r="294" spans="2:2" x14ac:dyDescent="0.2">
      <c r="B294" s="7" t="s">
        <v>55</v>
      </c>
    </row>
    <row r="295" spans="2:2" x14ac:dyDescent="0.2">
      <c r="B295" s="7" t="s">
        <v>306</v>
      </c>
    </row>
    <row r="296" spans="2:2" x14ac:dyDescent="0.2">
      <c r="B296" s="7" t="s">
        <v>501</v>
      </c>
    </row>
    <row r="297" spans="2:2" x14ac:dyDescent="0.2">
      <c r="B297" s="7" t="s">
        <v>67</v>
      </c>
    </row>
    <row r="298" spans="2:2" x14ac:dyDescent="0.2">
      <c r="B298" s="7" t="s">
        <v>114</v>
      </c>
    </row>
    <row r="299" spans="2:2" x14ac:dyDescent="0.2">
      <c r="B299" s="7" t="s">
        <v>267</v>
      </c>
    </row>
    <row r="300" spans="2:2" x14ac:dyDescent="0.2">
      <c r="B300" s="7" t="s">
        <v>75</v>
      </c>
    </row>
    <row r="301" spans="2:2" x14ac:dyDescent="0.2">
      <c r="B301" s="7" t="s">
        <v>268</v>
      </c>
    </row>
    <row r="302" spans="2:2" x14ac:dyDescent="0.2">
      <c r="B302" s="7" t="s">
        <v>78</v>
      </c>
    </row>
    <row r="303" spans="2:2" x14ac:dyDescent="0.2">
      <c r="B303" s="7" t="s">
        <v>84</v>
      </c>
    </row>
    <row r="304" spans="2:2" x14ac:dyDescent="0.2">
      <c r="B304" s="7" t="s">
        <v>92</v>
      </c>
    </row>
    <row r="305" spans="1:2" x14ac:dyDescent="0.2">
      <c r="B305" s="7" t="s">
        <v>376</v>
      </c>
    </row>
    <row r="306" spans="1:2" x14ac:dyDescent="0.2">
      <c r="B306" s="7" t="s">
        <v>331</v>
      </c>
    </row>
    <row r="307" spans="1:2" x14ac:dyDescent="0.2">
      <c r="B307" s="7" t="s">
        <v>508</v>
      </c>
    </row>
    <row r="308" spans="1:2" x14ac:dyDescent="0.2">
      <c r="B308" s="7" t="s">
        <v>370</v>
      </c>
    </row>
    <row r="309" spans="1:2" x14ac:dyDescent="0.2">
      <c r="B309" s="7" t="s">
        <v>119</v>
      </c>
    </row>
    <row r="310" spans="1:2" x14ac:dyDescent="0.2">
      <c r="B310" s="7" t="s">
        <v>122</v>
      </c>
    </row>
    <row r="311" spans="1:2" x14ac:dyDescent="0.2">
      <c r="A311" s="7" t="s">
        <v>540</v>
      </c>
      <c r="B311" s="7" t="s">
        <v>209</v>
      </c>
    </row>
    <row r="312" spans="1:2" x14ac:dyDescent="0.2">
      <c r="B312" s="7" t="s">
        <v>286</v>
      </c>
    </row>
    <row r="313" spans="1:2" x14ac:dyDescent="0.2">
      <c r="B313" s="7" t="s">
        <v>291</v>
      </c>
    </row>
    <row r="314" spans="1:2" x14ac:dyDescent="0.2">
      <c r="B314" s="7" t="s">
        <v>212</v>
      </c>
    </row>
    <row r="315" spans="1:2" x14ac:dyDescent="0.2">
      <c r="B315" s="7" t="s">
        <v>169</v>
      </c>
    </row>
    <row r="316" spans="1:2" x14ac:dyDescent="0.2">
      <c r="B316" s="7" t="s">
        <v>138</v>
      </c>
    </row>
    <row r="317" spans="1:2" x14ac:dyDescent="0.2">
      <c r="B317" s="7" t="s">
        <v>241</v>
      </c>
    </row>
    <row r="318" spans="1:2" x14ac:dyDescent="0.2">
      <c r="B318" s="7" t="s">
        <v>214</v>
      </c>
    </row>
    <row r="319" spans="1:2" x14ac:dyDescent="0.2">
      <c r="B319" s="7" t="s">
        <v>25</v>
      </c>
    </row>
    <row r="320" spans="1:2" x14ac:dyDescent="0.2">
      <c r="B320" s="7" t="s">
        <v>298</v>
      </c>
    </row>
    <row r="321" spans="2:2" x14ac:dyDescent="0.2">
      <c r="B321" s="7" t="s">
        <v>541</v>
      </c>
    </row>
    <row r="322" spans="2:2" x14ac:dyDescent="0.2">
      <c r="B322" s="7" t="s">
        <v>516</v>
      </c>
    </row>
    <row r="323" spans="2:2" x14ac:dyDescent="0.2">
      <c r="B323" s="7" t="s">
        <v>33</v>
      </c>
    </row>
    <row r="324" spans="2:2" x14ac:dyDescent="0.2">
      <c r="B324" s="7" t="s">
        <v>542</v>
      </c>
    </row>
    <row r="325" spans="2:2" x14ac:dyDescent="0.2">
      <c r="B325" s="7" t="s">
        <v>141</v>
      </c>
    </row>
    <row r="326" spans="2:2" x14ac:dyDescent="0.2">
      <c r="B326" s="7" t="s">
        <v>308</v>
      </c>
    </row>
    <row r="327" spans="2:2" x14ac:dyDescent="0.2">
      <c r="B327" s="7" t="s">
        <v>174</v>
      </c>
    </row>
    <row r="328" spans="2:2" x14ac:dyDescent="0.2">
      <c r="B328" s="7" t="s">
        <v>175</v>
      </c>
    </row>
    <row r="329" spans="2:2" x14ac:dyDescent="0.2">
      <c r="B329" s="7" t="s">
        <v>200</v>
      </c>
    </row>
    <row r="330" spans="2:2" x14ac:dyDescent="0.2">
      <c r="B330" s="7" t="s">
        <v>317</v>
      </c>
    </row>
    <row r="331" spans="2:2" x14ac:dyDescent="0.2">
      <c r="B331" s="7" t="s">
        <v>398</v>
      </c>
    </row>
    <row r="332" spans="2:2" x14ac:dyDescent="0.2">
      <c r="B332" s="7" t="s">
        <v>341</v>
      </c>
    </row>
    <row r="333" spans="2:2" x14ac:dyDescent="0.2">
      <c r="B333" s="7" t="s">
        <v>261</v>
      </c>
    </row>
    <row r="334" spans="2:2" x14ac:dyDescent="0.2">
      <c r="B334" s="7" t="s">
        <v>343</v>
      </c>
    </row>
    <row r="335" spans="2:2" x14ac:dyDescent="0.2">
      <c r="B335" s="7" t="s">
        <v>323</v>
      </c>
    </row>
    <row r="336" spans="2:2" x14ac:dyDescent="0.2">
      <c r="B336" s="7" t="s">
        <v>344</v>
      </c>
    </row>
    <row r="337" spans="1:2" x14ac:dyDescent="0.2">
      <c r="B337" s="7" t="s">
        <v>91</v>
      </c>
    </row>
    <row r="338" spans="1:2" x14ac:dyDescent="0.2">
      <c r="B338" s="7" t="s">
        <v>227</v>
      </c>
    </row>
    <row r="339" spans="1:2" x14ac:dyDescent="0.2">
      <c r="B339" s="7" t="s">
        <v>270</v>
      </c>
    </row>
    <row r="340" spans="1:2" x14ac:dyDescent="0.2">
      <c r="B340" s="7" t="s">
        <v>271</v>
      </c>
    </row>
    <row r="341" spans="1:2" x14ac:dyDescent="0.2">
      <c r="B341" s="7" t="s">
        <v>95</v>
      </c>
    </row>
    <row r="342" spans="1:2" x14ac:dyDescent="0.2">
      <c r="B342" s="7" t="s">
        <v>203</v>
      </c>
    </row>
    <row r="343" spans="1:2" x14ac:dyDescent="0.2">
      <c r="B343" s="7" t="s">
        <v>384</v>
      </c>
    </row>
    <row r="344" spans="1:2" x14ac:dyDescent="0.2">
      <c r="B344" s="7" t="s">
        <v>228</v>
      </c>
    </row>
    <row r="345" spans="1:2" x14ac:dyDescent="0.2">
      <c r="B345" s="7" t="s">
        <v>119</v>
      </c>
    </row>
    <row r="346" spans="1:2" x14ac:dyDescent="0.2">
      <c r="B346" s="7" t="s">
        <v>181</v>
      </c>
    </row>
    <row r="347" spans="1:2" x14ac:dyDescent="0.2">
      <c r="B347" s="7" t="s">
        <v>204</v>
      </c>
    </row>
    <row r="348" spans="1:2" x14ac:dyDescent="0.2">
      <c r="B348" s="7" t="s">
        <v>145</v>
      </c>
    </row>
    <row r="349" spans="1:2" x14ac:dyDescent="0.2">
      <c r="B349" s="7" t="s">
        <v>405</v>
      </c>
    </row>
    <row r="350" spans="1:2" x14ac:dyDescent="0.2">
      <c r="A350" s="7" t="s">
        <v>625</v>
      </c>
      <c r="B350" s="7" t="s">
        <v>103</v>
      </c>
    </row>
    <row r="351" spans="1:2" x14ac:dyDescent="0.2">
      <c r="B351" s="7" t="s">
        <v>190</v>
      </c>
    </row>
    <row r="352" spans="1:2" x14ac:dyDescent="0.2">
      <c r="B352" s="7" t="s">
        <v>486</v>
      </c>
    </row>
    <row r="353" spans="2:2" x14ac:dyDescent="0.2">
      <c r="B353" s="7" t="s">
        <v>291</v>
      </c>
    </row>
    <row r="354" spans="2:2" x14ac:dyDescent="0.2">
      <c r="B354" s="7" t="s">
        <v>18</v>
      </c>
    </row>
    <row r="355" spans="2:2" x14ac:dyDescent="0.2">
      <c r="B355" s="7" t="s">
        <v>169</v>
      </c>
    </row>
    <row r="356" spans="2:2" x14ac:dyDescent="0.2">
      <c r="B356" s="7" t="s">
        <v>246</v>
      </c>
    </row>
    <row r="357" spans="2:2" x14ac:dyDescent="0.2">
      <c r="B357" s="7" t="s">
        <v>247</v>
      </c>
    </row>
    <row r="358" spans="2:2" x14ac:dyDescent="0.2">
      <c r="B358" s="7" t="s">
        <v>193</v>
      </c>
    </row>
    <row r="359" spans="2:2" x14ac:dyDescent="0.2">
      <c r="B359" s="7" t="s">
        <v>449</v>
      </c>
    </row>
    <row r="360" spans="2:2" x14ac:dyDescent="0.2">
      <c r="B360" s="7" t="s">
        <v>33</v>
      </c>
    </row>
    <row r="361" spans="2:2" x14ac:dyDescent="0.2">
      <c r="B361" s="7" t="s">
        <v>195</v>
      </c>
    </row>
    <row r="362" spans="2:2" x14ac:dyDescent="0.2">
      <c r="B362" s="7" t="s">
        <v>137</v>
      </c>
    </row>
    <row r="363" spans="2:2" x14ac:dyDescent="0.2">
      <c r="B363" s="7" t="s">
        <v>317</v>
      </c>
    </row>
    <row r="364" spans="2:2" x14ac:dyDescent="0.2">
      <c r="B364" s="7" t="s">
        <v>215</v>
      </c>
    </row>
    <row r="365" spans="2:2" x14ac:dyDescent="0.2">
      <c r="B365" s="7" t="s">
        <v>55</v>
      </c>
    </row>
    <row r="366" spans="2:2" x14ac:dyDescent="0.2">
      <c r="B366" s="7" t="s">
        <v>367</v>
      </c>
    </row>
    <row r="367" spans="2:2" x14ac:dyDescent="0.2">
      <c r="B367" s="7" t="s">
        <v>64</v>
      </c>
    </row>
    <row r="368" spans="2:2" x14ac:dyDescent="0.2">
      <c r="B368" s="7" t="s">
        <v>268</v>
      </c>
    </row>
    <row r="369" spans="1:2" x14ac:dyDescent="0.2">
      <c r="B369" s="7" t="s">
        <v>271</v>
      </c>
    </row>
    <row r="370" spans="1:2" x14ac:dyDescent="0.2">
      <c r="B370" s="7" t="s">
        <v>331</v>
      </c>
    </row>
    <row r="371" spans="1:2" x14ac:dyDescent="0.2">
      <c r="B371" s="7" t="s">
        <v>98</v>
      </c>
    </row>
    <row r="372" spans="1:2" x14ac:dyDescent="0.2">
      <c r="B372" s="7" t="s">
        <v>99</v>
      </c>
    </row>
    <row r="373" spans="1:2" x14ac:dyDescent="0.2">
      <c r="B373" s="7" t="s">
        <v>370</v>
      </c>
    </row>
    <row r="374" spans="1:2" x14ac:dyDescent="0.2">
      <c r="B374" s="7" t="s">
        <v>120</v>
      </c>
    </row>
    <row r="375" spans="1:2" x14ac:dyDescent="0.2">
      <c r="A375" s="7" t="s">
        <v>626</v>
      </c>
      <c r="B375" s="7" t="s">
        <v>124</v>
      </c>
    </row>
    <row r="376" spans="1:2" x14ac:dyDescent="0.2">
      <c r="B376" s="7" t="s">
        <v>164</v>
      </c>
    </row>
    <row r="377" spans="1:2" x14ac:dyDescent="0.2">
      <c r="B377" s="7" t="s">
        <v>536</v>
      </c>
    </row>
    <row r="378" spans="1:2" x14ac:dyDescent="0.2">
      <c r="B378" s="7" t="s">
        <v>395</v>
      </c>
    </row>
    <row r="379" spans="1:2" x14ac:dyDescent="0.2">
      <c r="B379" s="7" t="s">
        <v>378</v>
      </c>
    </row>
    <row r="380" spans="1:2" x14ac:dyDescent="0.2">
      <c r="B380" s="7" t="s">
        <v>169</v>
      </c>
    </row>
    <row r="381" spans="1:2" x14ac:dyDescent="0.2">
      <c r="B381" s="7" t="s">
        <v>218</v>
      </c>
    </row>
    <row r="382" spans="1:2" x14ac:dyDescent="0.2">
      <c r="B382" s="7" t="s">
        <v>27</v>
      </c>
    </row>
    <row r="383" spans="1:2" x14ac:dyDescent="0.2">
      <c r="B383" s="7" t="s">
        <v>246</v>
      </c>
    </row>
    <row r="384" spans="1:2" x14ac:dyDescent="0.2">
      <c r="B384" s="7" t="s">
        <v>492</v>
      </c>
    </row>
    <row r="385" spans="1:2" x14ac:dyDescent="0.2">
      <c r="B385" s="7" t="s">
        <v>449</v>
      </c>
    </row>
    <row r="386" spans="1:2" x14ac:dyDescent="0.2">
      <c r="B386" s="7" t="s">
        <v>302</v>
      </c>
    </row>
    <row r="387" spans="1:2" x14ac:dyDescent="0.2">
      <c r="B387" s="7" t="s">
        <v>350</v>
      </c>
    </row>
    <row r="388" spans="1:2" x14ac:dyDescent="0.2">
      <c r="B388" s="7" t="s">
        <v>229</v>
      </c>
    </row>
    <row r="389" spans="1:2" x14ac:dyDescent="0.2">
      <c r="B389" s="7" t="s">
        <v>137</v>
      </c>
    </row>
    <row r="390" spans="1:2" x14ac:dyDescent="0.2">
      <c r="B390" s="7" t="s">
        <v>521</v>
      </c>
    </row>
    <row r="391" spans="1:2" x14ac:dyDescent="0.2">
      <c r="B391" s="7" t="s">
        <v>319</v>
      </c>
    </row>
    <row r="392" spans="1:2" x14ac:dyDescent="0.2">
      <c r="B392" s="7" t="s">
        <v>397</v>
      </c>
    </row>
    <row r="393" spans="1:2" x14ac:dyDescent="0.2">
      <c r="B393" s="7" t="s">
        <v>317</v>
      </c>
    </row>
    <row r="394" spans="1:2" x14ac:dyDescent="0.2">
      <c r="B394" s="7" t="s">
        <v>264</v>
      </c>
    </row>
    <row r="395" spans="1:2" x14ac:dyDescent="0.2">
      <c r="B395" s="7" t="s">
        <v>225</v>
      </c>
    </row>
    <row r="396" spans="1:2" x14ac:dyDescent="0.2">
      <c r="B396" s="7" t="s">
        <v>391</v>
      </c>
    </row>
    <row r="397" spans="1:2" x14ac:dyDescent="0.2">
      <c r="B397" s="7" t="s">
        <v>227</v>
      </c>
    </row>
    <row r="398" spans="1:2" x14ac:dyDescent="0.2">
      <c r="B398" s="7" t="s">
        <v>162</v>
      </c>
    </row>
    <row r="399" spans="1:2" x14ac:dyDescent="0.2">
      <c r="A399" s="7" t="s">
        <v>608</v>
      </c>
      <c r="B399" s="7" t="s">
        <v>205</v>
      </c>
    </row>
    <row r="400" spans="1:2" x14ac:dyDescent="0.2">
      <c r="B400" s="7" t="s">
        <v>237</v>
      </c>
    </row>
    <row r="401" spans="2:2" x14ac:dyDescent="0.2">
      <c r="B401" s="7" t="s">
        <v>288</v>
      </c>
    </row>
    <row r="402" spans="2:2" x14ac:dyDescent="0.2">
      <c r="B402" s="7" t="s">
        <v>212</v>
      </c>
    </row>
    <row r="403" spans="2:2" x14ac:dyDescent="0.2">
      <c r="B403" s="7" t="s">
        <v>138</v>
      </c>
    </row>
    <row r="404" spans="2:2" x14ac:dyDescent="0.2">
      <c r="B404" s="7" t="s">
        <v>214</v>
      </c>
    </row>
    <row r="405" spans="2:2" x14ac:dyDescent="0.2">
      <c r="B405" s="7" t="s">
        <v>25</v>
      </c>
    </row>
    <row r="406" spans="2:2" x14ac:dyDescent="0.2">
      <c r="B406" s="7" t="s">
        <v>516</v>
      </c>
    </row>
    <row r="407" spans="2:2" x14ac:dyDescent="0.2">
      <c r="B407" s="7" t="s">
        <v>107</v>
      </c>
    </row>
    <row r="408" spans="2:2" x14ac:dyDescent="0.2">
      <c r="B408" s="7" t="s">
        <v>41</v>
      </c>
    </row>
    <row r="409" spans="2:2" x14ac:dyDescent="0.2">
      <c r="B409" s="7" t="s">
        <v>137</v>
      </c>
    </row>
    <row r="410" spans="2:2" x14ac:dyDescent="0.2">
      <c r="B410" s="7" t="s">
        <v>177</v>
      </c>
    </row>
    <row r="411" spans="2:2" x14ac:dyDescent="0.2">
      <c r="B411" s="7" t="s">
        <v>317</v>
      </c>
    </row>
    <row r="412" spans="2:2" x14ac:dyDescent="0.2">
      <c r="B412" s="7" t="s">
        <v>341</v>
      </c>
    </row>
    <row r="413" spans="2:2" x14ac:dyDescent="0.2">
      <c r="B413" s="7" t="s">
        <v>300</v>
      </c>
    </row>
    <row r="414" spans="2:2" x14ac:dyDescent="0.2">
      <c r="B414" s="7" t="s">
        <v>134</v>
      </c>
    </row>
    <row r="415" spans="2:2" x14ac:dyDescent="0.2">
      <c r="B415" s="7" t="s">
        <v>108</v>
      </c>
    </row>
    <row r="416" spans="2:2" x14ac:dyDescent="0.2">
      <c r="B416" s="7" t="s">
        <v>261</v>
      </c>
    </row>
    <row r="417" spans="1:2" x14ac:dyDescent="0.2">
      <c r="B417" s="7" t="s">
        <v>111</v>
      </c>
    </row>
    <row r="418" spans="1:2" x14ac:dyDescent="0.2">
      <c r="B418" s="7" t="s">
        <v>67</v>
      </c>
    </row>
    <row r="419" spans="1:2" x14ac:dyDescent="0.2">
      <c r="B419" s="7" t="s">
        <v>343</v>
      </c>
    </row>
    <row r="420" spans="1:2" x14ac:dyDescent="0.2">
      <c r="B420" s="7" t="s">
        <v>70</v>
      </c>
    </row>
    <row r="421" spans="1:2" x14ac:dyDescent="0.2">
      <c r="B421" s="7" t="s">
        <v>78</v>
      </c>
    </row>
    <row r="422" spans="1:2" x14ac:dyDescent="0.2">
      <c r="B422" s="7" t="s">
        <v>86</v>
      </c>
    </row>
    <row r="423" spans="1:2" x14ac:dyDescent="0.2">
      <c r="B423" s="7" t="s">
        <v>87</v>
      </c>
    </row>
    <row r="424" spans="1:2" x14ac:dyDescent="0.2">
      <c r="B424" s="7" t="s">
        <v>118</v>
      </c>
    </row>
    <row r="425" spans="1:2" x14ac:dyDescent="0.2">
      <c r="B425" s="7" t="s">
        <v>326</v>
      </c>
    </row>
    <row r="426" spans="1:2" x14ac:dyDescent="0.2">
      <c r="B426" s="7" t="s">
        <v>270</v>
      </c>
    </row>
    <row r="427" spans="1:2" x14ac:dyDescent="0.2">
      <c r="B427" s="7" t="s">
        <v>539</v>
      </c>
    </row>
    <row r="428" spans="1:2" x14ac:dyDescent="0.2">
      <c r="B428" s="7" t="s">
        <v>208</v>
      </c>
    </row>
    <row r="429" spans="1:2" x14ac:dyDescent="0.2">
      <c r="B429" s="7" t="s">
        <v>119</v>
      </c>
    </row>
    <row r="430" spans="1:2" x14ac:dyDescent="0.2">
      <c r="B430" s="7" t="s">
        <v>613</v>
      </c>
    </row>
    <row r="431" spans="1:2" x14ac:dyDescent="0.2">
      <c r="A431" s="7" t="s">
        <v>622</v>
      </c>
      <c r="B431" s="7" t="s">
        <v>124</v>
      </c>
    </row>
    <row r="432" spans="1:2" x14ac:dyDescent="0.2">
      <c r="B432" s="7" t="s">
        <v>281</v>
      </c>
    </row>
    <row r="433" spans="2:2" x14ac:dyDescent="0.2">
      <c r="B433" s="7" t="s">
        <v>10</v>
      </c>
    </row>
    <row r="434" spans="2:2" x14ac:dyDescent="0.2">
      <c r="B434" s="7" t="s">
        <v>188</v>
      </c>
    </row>
    <row r="435" spans="2:2" x14ac:dyDescent="0.2">
      <c r="B435" s="7" t="s">
        <v>106</v>
      </c>
    </row>
    <row r="436" spans="2:2" x14ac:dyDescent="0.2">
      <c r="B436" s="7" t="s">
        <v>388</v>
      </c>
    </row>
    <row r="437" spans="2:2" x14ac:dyDescent="0.2">
      <c r="B437" s="7" t="s">
        <v>464</v>
      </c>
    </row>
    <row r="438" spans="2:2" x14ac:dyDescent="0.2">
      <c r="B438" s="7" t="s">
        <v>243</v>
      </c>
    </row>
    <row r="439" spans="2:2" x14ac:dyDescent="0.2">
      <c r="B439" s="7" t="s">
        <v>244</v>
      </c>
    </row>
    <row r="440" spans="2:2" x14ac:dyDescent="0.2">
      <c r="B440" s="7" t="s">
        <v>541</v>
      </c>
    </row>
    <row r="441" spans="2:2" x14ac:dyDescent="0.2">
      <c r="B441" s="7" t="s">
        <v>31</v>
      </c>
    </row>
    <row r="442" spans="2:2" x14ac:dyDescent="0.2">
      <c r="B442" s="7" t="s">
        <v>146</v>
      </c>
    </row>
    <row r="443" spans="2:2" x14ac:dyDescent="0.2">
      <c r="B443" s="7" t="s">
        <v>256</v>
      </c>
    </row>
    <row r="444" spans="2:2" x14ac:dyDescent="0.2">
      <c r="B444" s="7" t="s">
        <v>43</v>
      </c>
    </row>
    <row r="445" spans="2:2" x14ac:dyDescent="0.2">
      <c r="B445" s="7" t="s">
        <v>310</v>
      </c>
    </row>
    <row r="446" spans="2:2" x14ac:dyDescent="0.2">
      <c r="B446" s="7" t="s">
        <v>545</v>
      </c>
    </row>
    <row r="447" spans="2:2" x14ac:dyDescent="0.2">
      <c r="B447" s="7" t="s">
        <v>314</v>
      </c>
    </row>
    <row r="448" spans="2:2" x14ac:dyDescent="0.2">
      <c r="B448" s="7" t="s">
        <v>177</v>
      </c>
    </row>
    <row r="449" spans="2:2" x14ac:dyDescent="0.2">
      <c r="B449" s="7" t="s">
        <v>257</v>
      </c>
    </row>
    <row r="450" spans="2:2" x14ac:dyDescent="0.2">
      <c r="B450" s="7" t="s">
        <v>108</v>
      </c>
    </row>
    <row r="451" spans="2:2" x14ac:dyDescent="0.2">
      <c r="B451" s="7" t="s">
        <v>111</v>
      </c>
    </row>
    <row r="452" spans="2:2" x14ac:dyDescent="0.2">
      <c r="B452" s="7" t="s">
        <v>616</v>
      </c>
    </row>
    <row r="453" spans="2:2" x14ac:dyDescent="0.2">
      <c r="B453" s="7" t="s">
        <v>67</v>
      </c>
    </row>
    <row r="454" spans="2:2" x14ac:dyDescent="0.2">
      <c r="B454" s="7" t="s">
        <v>72</v>
      </c>
    </row>
    <row r="455" spans="2:2" x14ac:dyDescent="0.2">
      <c r="B455" s="7" t="s">
        <v>265</v>
      </c>
    </row>
    <row r="456" spans="2:2" x14ac:dyDescent="0.2">
      <c r="B456" s="7" t="s">
        <v>267</v>
      </c>
    </row>
    <row r="457" spans="2:2" x14ac:dyDescent="0.2">
      <c r="B457" s="7" t="s">
        <v>78</v>
      </c>
    </row>
    <row r="458" spans="2:2" x14ac:dyDescent="0.2">
      <c r="B458" s="7" t="s">
        <v>391</v>
      </c>
    </row>
    <row r="459" spans="2:2" x14ac:dyDescent="0.2">
      <c r="B459" s="7" t="s">
        <v>86</v>
      </c>
    </row>
    <row r="460" spans="2:2" x14ac:dyDescent="0.2">
      <c r="B460" s="7" t="s">
        <v>87</v>
      </c>
    </row>
    <row r="461" spans="2:2" x14ac:dyDescent="0.2">
      <c r="B461" s="7" t="s">
        <v>88</v>
      </c>
    </row>
    <row r="462" spans="2:2" x14ac:dyDescent="0.2">
      <c r="B462" s="7" t="s">
        <v>90</v>
      </c>
    </row>
    <row r="463" spans="2:2" x14ac:dyDescent="0.2">
      <c r="B463" s="7" t="s">
        <v>162</v>
      </c>
    </row>
    <row r="464" spans="2:2" x14ac:dyDescent="0.2">
      <c r="B464" s="7" t="s">
        <v>272</v>
      </c>
    </row>
    <row r="465" spans="1:2" x14ac:dyDescent="0.2">
      <c r="B465" s="7" t="s">
        <v>537</v>
      </c>
    </row>
    <row r="466" spans="1:2" x14ac:dyDescent="0.2">
      <c r="B466" s="7" t="s">
        <v>273</v>
      </c>
    </row>
    <row r="467" spans="1:2" x14ac:dyDescent="0.2">
      <c r="B467" s="7" t="s">
        <v>208</v>
      </c>
    </row>
    <row r="468" spans="1:2" x14ac:dyDescent="0.2">
      <c r="B468" s="7" t="s">
        <v>230</v>
      </c>
    </row>
    <row r="469" spans="1:2" x14ac:dyDescent="0.2">
      <c r="B469" s="7" t="s">
        <v>508</v>
      </c>
    </row>
    <row r="470" spans="1:2" x14ac:dyDescent="0.2">
      <c r="B470" s="7" t="s">
        <v>119</v>
      </c>
    </row>
    <row r="471" spans="1:2" x14ac:dyDescent="0.2">
      <c r="A471" s="7" t="s">
        <v>623</v>
      </c>
      <c r="B471" s="7" t="s">
        <v>614</v>
      </c>
    </row>
    <row r="472" spans="1:2" x14ac:dyDescent="0.2">
      <c r="B472" s="7" t="s">
        <v>205</v>
      </c>
    </row>
    <row r="473" spans="1:2" x14ac:dyDescent="0.2">
      <c r="B473" s="7" t="s">
        <v>8</v>
      </c>
    </row>
    <row r="474" spans="1:2" x14ac:dyDescent="0.2">
      <c r="B474" s="7" t="s">
        <v>284</v>
      </c>
    </row>
    <row r="475" spans="1:2" x14ac:dyDescent="0.2">
      <c r="B475" s="7" t="s">
        <v>484</v>
      </c>
    </row>
    <row r="476" spans="1:2" x14ac:dyDescent="0.2">
      <c r="B476" s="7" t="s">
        <v>533</v>
      </c>
    </row>
    <row r="477" spans="1:2" x14ac:dyDescent="0.2">
      <c r="B477" s="7" t="s">
        <v>299</v>
      </c>
    </row>
    <row r="478" spans="1:2" x14ac:dyDescent="0.2">
      <c r="B478" s="7" t="s">
        <v>249</v>
      </c>
    </row>
    <row r="479" spans="1:2" x14ac:dyDescent="0.2">
      <c r="B479" s="7" t="s">
        <v>191</v>
      </c>
    </row>
    <row r="480" spans="1:2" x14ac:dyDescent="0.2">
      <c r="B480" s="7" t="s">
        <v>31</v>
      </c>
    </row>
    <row r="481" spans="1:2" x14ac:dyDescent="0.2">
      <c r="B481" s="7" t="s">
        <v>492</v>
      </c>
    </row>
    <row r="482" spans="1:2" x14ac:dyDescent="0.2">
      <c r="B482" s="7" t="s">
        <v>564</v>
      </c>
    </row>
    <row r="483" spans="1:2" x14ac:dyDescent="0.2">
      <c r="B483" s="7" t="s">
        <v>253</v>
      </c>
    </row>
    <row r="484" spans="1:2" x14ac:dyDescent="0.2">
      <c r="B484" s="7" t="s">
        <v>107</v>
      </c>
    </row>
    <row r="485" spans="1:2" x14ac:dyDescent="0.2">
      <c r="B485" s="7" t="s">
        <v>304</v>
      </c>
    </row>
    <row r="486" spans="1:2" x14ac:dyDescent="0.2">
      <c r="B486" s="7" t="s">
        <v>255</v>
      </c>
    </row>
    <row r="487" spans="1:2" x14ac:dyDescent="0.2">
      <c r="B487" s="7" t="s">
        <v>311</v>
      </c>
    </row>
    <row r="488" spans="1:2" x14ac:dyDescent="0.2">
      <c r="B488" s="7" t="s">
        <v>545</v>
      </c>
    </row>
    <row r="489" spans="1:2" x14ac:dyDescent="0.2">
      <c r="B489" s="7" t="s">
        <v>221</v>
      </c>
    </row>
    <row r="490" spans="1:2" x14ac:dyDescent="0.2">
      <c r="B490" s="7" t="s">
        <v>321</v>
      </c>
    </row>
    <row r="491" spans="1:2" x14ac:dyDescent="0.2">
      <c r="B491" s="7" t="s">
        <v>266</v>
      </c>
    </row>
    <row r="492" spans="1:2" x14ac:dyDescent="0.2">
      <c r="B492" s="7" t="s">
        <v>85</v>
      </c>
    </row>
    <row r="493" spans="1:2" x14ac:dyDescent="0.2">
      <c r="B493" s="7" t="s">
        <v>86</v>
      </c>
    </row>
    <row r="494" spans="1:2" x14ac:dyDescent="0.2">
      <c r="B494" s="7" t="s">
        <v>90</v>
      </c>
    </row>
    <row r="495" spans="1:2" x14ac:dyDescent="0.2">
      <c r="B495" s="7" t="s">
        <v>613</v>
      </c>
    </row>
    <row r="496" spans="1:2" x14ac:dyDescent="0.2">
      <c r="A496" s="7" t="s">
        <v>629</v>
      </c>
      <c r="B496" s="7" t="s">
        <v>408</v>
      </c>
    </row>
    <row r="497" spans="2:2" x14ac:dyDescent="0.2">
      <c r="B497" s="7" t="s">
        <v>237</v>
      </c>
    </row>
    <row r="498" spans="2:2" x14ac:dyDescent="0.2">
      <c r="B498" s="7" t="s">
        <v>431</v>
      </c>
    </row>
    <row r="499" spans="2:2" x14ac:dyDescent="0.2">
      <c r="B499" s="7" t="s">
        <v>139</v>
      </c>
    </row>
    <row r="500" spans="2:2" x14ac:dyDescent="0.2">
      <c r="B500" s="7" t="s">
        <v>193</v>
      </c>
    </row>
    <row r="501" spans="2:2" x14ac:dyDescent="0.2">
      <c r="B501" s="7" t="s">
        <v>301</v>
      </c>
    </row>
    <row r="502" spans="2:2" x14ac:dyDescent="0.2">
      <c r="B502" s="7" t="s">
        <v>250</v>
      </c>
    </row>
    <row r="503" spans="2:2" x14ac:dyDescent="0.2">
      <c r="B503" s="7" t="s">
        <v>219</v>
      </c>
    </row>
    <row r="504" spans="2:2" x14ac:dyDescent="0.2">
      <c r="B504" s="7" t="s">
        <v>197</v>
      </c>
    </row>
    <row r="505" spans="2:2" x14ac:dyDescent="0.2">
      <c r="B505" s="7" t="s">
        <v>340</v>
      </c>
    </row>
    <row r="506" spans="2:2" x14ac:dyDescent="0.2">
      <c r="B506" s="7" t="s">
        <v>364</v>
      </c>
    </row>
    <row r="507" spans="2:2" x14ac:dyDescent="0.2">
      <c r="B507" s="7" t="s">
        <v>419</v>
      </c>
    </row>
    <row r="508" spans="2:2" x14ac:dyDescent="0.2">
      <c r="B508" s="7" t="s">
        <v>223</v>
      </c>
    </row>
    <row r="509" spans="2:2" x14ac:dyDescent="0.2">
      <c r="B509" s="7" t="s">
        <v>337</v>
      </c>
    </row>
    <row r="510" spans="2:2" x14ac:dyDescent="0.2">
      <c r="B510" s="7" t="s">
        <v>55</v>
      </c>
    </row>
    <row r="511" spans="2:2" x14ac:dyDescent="0.2">
      <c r="B511" s="7" t="s">
        <v>367</v>
      </c>
    </row>
    <row r="512" spans="2:2" x14ac:dyDescent="0.2">
      <c r="B512" s="7" t="s">
        <v>323</v>
      </c>
    </row>
    <row r="513" spans="1:2" x14ac:dyDescent="0.2">
      <c r="B513" s="7" t="s">
        <v>225</v>
      </c>
    </row>
    <row r="514" spans="1:2" x14ac:dyDescent="0.2">
      <c r="B514" s="7" t="s">
        <v>326</v>
      </c>
    </row>
    <row r="515" spans="1:2" x14ac:dyDescent="0.2">
      <c r="B515" s="7" t="s">
        <v>162</v>
      </c>
    </row>
    <row r="516" spans="1:2" x14ac:dyDescent="0.2">
      <c r="B516" s="7" t="s">
        <v>277</v>
      </c>
    </row>
    <row r="517" spans="1:2" x14ac:dyDescent="0.2">
      <c r="B517" s="7" t="s">
        <v>98</v>
      </c>
    </row>
    <row r="518" spans="1:2" x14ac:dyDescent="0.2">
      <c r="B518" s="7" t="s">
        <v>230</v>
      </c>
    </row>
    <row r="519" spans="1:2" x14ac:dyDescent="0.2">
      <c r="B519" s="7" t="s">
        <v>530</v>
      </c>
    </row>
    <row r="520" spans="1:2" x14ac:dyDescent="0.2">
      <c r="A520" s="7" t="s">
        <v>627</v>
      </c>
      <c r="B520" s="7" t="s">
        <v>8</v>
      </c>
    </row>
    <row r="521" spans="1:2" x14ac:dyDescent="0.2">
      <c r="B521" s="7" t="s">
        <v>186</v>
      </c>
    </row>
    <row r="522" spans="1:2" x14ac:dyDescent="0.2">
      <c r="B522" s="7" t="s">
        <v>187</v>
      </c>
    </row>
    <row r="523" spans="1:2" x14ac:dyDescent="0.2">
      <c r="B523" s="7" t="s">
        <v>209</v>
      </c>
    </row>
    <row r="524" spans="1:2" x14ac:dyDescent="0.2">
      <c r="B524" s="7" t="s">
        <v>431</v>
      </c>
    </row>
    <row r="525" spans="1:2" x14ac:dyDescent="0.2">
      <c r="B525" s="7" t="s">
        <v>295</v>
      </c>
    </row>
    <row r="526" spans="1:2" x14ac:dyDescent="0.2">
      <c r="B526" s="7" t="s">
        <v>170</v>
      </c>
    </row>
    <row r="527" spans="1:2" x14ac:dyDescent="0.2">
      <c r="B527" s="7" t="s">
        <v>25</v>
      </c>
    </row>
    <row r="528" spans="1:2" x14ac:dyDescent="0.2">
      <c r="B528" s="7" t="s">
        <v>516</v>
      </c>
    </row>
    <row r="529" spans="2:2" x14ac:dyDescent="0.2">
      <c r="B529" s="7" t="s">
        <v>146</v>
      </c>
    </row>
    <row r="530" spans="2:2" x14ac:dyDescent="0.2">
      <c r="B530" s="7" t="s">
        <v>542</v>
      </c>
    </row>
    <row r="531" spans="2:2" x14ac:dyDescent="0.2">
      <c r="B531" s="7" t="s">
        <v>128</v>
      </c>
    </row>
    <row r="532" spans="2:2" x14ac:dyDescent="0.2">
      <c r="B532" s="7" t="s">
        <v>38</v>
      </c>
    </row>
    <row r="533" spans="2:2" x14ac:dyDescent="0.2">
      <c r="B533" s="7" t="s">
        <v>41</v>
      </c>
    </row>
    <row r="534" spans="2:2" x14ac:dyDescent="0.2">
      <c r="B534" s="7" t="s">
        <v>197</v>
      </c>
    </row>
    <row r="535" spans="2:2" x14ac:dyDescent="0.2">
      <c r="B535" s="7" t="s">
        <v>137</v>
      </c>
    </row>
    <row r="536" spans="2:2" x14ac:dyDescent="0.2">
      <c r="B536" s="7" t="s">
        <v>340</v>
      </c>
    </row>
    <row r="537" spans="2:2" x14ac:dyDescent="0.2">
      <c r="B537" s="7" t="s">
        <v>313</v>
      </c>
    </row>
    <row r="538" spans="2:2" x14ac:dyDescent="0.2">
      <c r="B538" s="7" t="s">
        <v>364</v>
      </c>
    </row>
    <row r="539" spans="2:2" x14ac:dyDescent="0.2">
      <c r="B539" s="7" t="s">
        <v>366</v>
      </c>
    </row>
    <row r="540" spans="2:2" x14ac:dyDescent="0.2">
      <c r="B540" s="7" t="s">
        <v>261</v>
      </c>
    </row>
    <row r="541" spans="2:2" x14ac:dyDescent="0.2">
      <c r="B541" s="7" t="s">
        <v>343</v>
      </c>
    </row>
    <row r="542" spans="2:2" x14ac:dyDescent="0.2">
      <c r="B542" s="7" t="s">
        <v>326</v>
      </c>
    </row>
    <row r="543" spans="2:2" x14ac:dyDescent="0.2">
      <c r="B543" s="7" t="s">
        <v>227</v>
      </c>
    </row>
    <row r="544" spans="2:2" x14ac:dyDescent="0.2">
      <c r="B544" s="7" t="s">
        <v>228</v>
      </c>
    </row>
    <row r="545" spans="1:2" x14ac:dyDescent="0.2">
      <c r="A545" s="7" t="s">
        <v>606</v>
      </c>
      <c r="B545" s="7" t="s">
        <v>186</v>
      </c>
    </row>
    <row r="546" spans="1:2" x14ac:dyDescent="0.2">
      <c r="B546" s="7" t="s">
        <v>187</v>
      </c>
    </row>
    <row r="547" spans="1:2" x14ac:dyDescent="0.2">
      <c r="B547" s="7" t="s">
        <v>11</v>
      </c>
    </row>
    <row r="548" spans="1:2" x14ac:dyDescent="0.2">
      <c r="B548" s="7" t="s">
        <v>284</v>
      </c>
    </row>
    <row r="549" spans="1:2" x14ac:dyDescent="0.2">
      <c r="B549" s="7" t="s">
        <v>129</v>
      </c>
    </row>
    <row r="550" spans="1:2" x14ac:dyDescent="0.2">
      <c r="B550" s="7" t="s">
        <v>190</v>
      </c>
    </row>
    <row r="551" spans="1:2" x14ac:dyDescent="0.2">
      <c r="B551" s="7" t="s">
        <v>349</v>
      </c>
    </row>
    <row r="552" spans="1:2" x14ac:dyDescent="0.2">
      <c r="B552" s="7" t="s">
        <v>486</v>
      </c>
    </row>
    <row r="553" spans="1:2" x14ac:dyDescent="0.2">
      <c r="B553" s="7" t="s">
        <v>431</v>
      </c>
    </row>
    <row r="554" spans="1:2" x14ac:dyDescent="0.2">
      <c r="B554" s="7" t="s">
        <v>18</v>
      </c>
    </row>
    <row r="555" spans="1:2" x14ac:dyDescent="0.2">
      <c r="B555" s="7" t="s">
        <v>170</v>
      </c>
    </row>
    <row r="556" spans="1:2" x14ac:dyDescent="0.2">
      <c r="B556" s="7" t="s">
        <v>246</v>
      </c>
    </row>
    <row r="557" spans="1:2" x14ac:dyDescent="0.2">
      <c r="B557" s="7" t="s">
        <v>193</v>
      </c>
    </row>
    <row r="558" spans="1:2" x14ac:dyDescent="0.2">
      <c r="B558" s="7" t="s">
        <v>449</v>
      </c>
    </row>
    <row r="559" spans="1:2" x14ac:dyDescent="0.2">
      <c r="B559" s="7" t="s">
        <v>194</v>
      </c>
    </row>
    <row r="560" spans="1:2" x14ac:dyDescent="0.2">
      <c r="B560" s="7" t="s">
        <v>451</v>
      </c>
    </row>
    <row r="561" spans="2:2" x14ac:dyDescent="0.2">
      <c r="B561" s="7" t="s">
        <v>146</v>
      </c>
    </row>
    <row r="562" spans="2:2" x14ac:dyDescent="0.2">
      <c r="B562" s="7" t="s">
        <v>304</v>
      </c>
    </row>
    <row r="563" spans="2:2" x14ac:dyDescent="0.2">
      <c r="B563" s="7" t="s">
        <v>255</v>
      </c>
    </row>
    <row r="564" spans="2:2" x14ac:dyDescent="0.2">
      <c r="B564" s="7" t="s">
        <v>198</v>
      </c>
    </row>
    <row r="565" spans="2:2" x14ac:dyDescent="0.2">
      <c r="B565" s="7" t="s">
        <v>313</v>
      </c>
    </row>
    <row r="566" spans="2:2" x14ac:dyDescent="0.2">
      <c r="B566" s="7" t="s">
        <v>417</v>
      </c>
    </row>
    <row r="567" spans="2:2" x14ac:dyDescent="0.2">
      <c r="B567" s="7" t="s">
        <v>366</v>
      </c>
    </row>
    <row r="568" spans="2:2" x14ac:dyDescent="0.2">
      <c r="B568" s="7" t="s">
        <v>215</v>
      </c>
    </row>
    <row r="569" spans="2:2" x14ac:dyDescent="0.2">
      <c r="B569" s="7" t="s">
        <v>55</v>
      </c>
    </row>
    <row r="570" spans="2:2" x14ac:dyDescent="0.2">
      <c r="B570" s="7" t="s">
        <v>367</v>
      </c>
    </row>
    <row r="571" spans="2:2" x14ac:dyDescent="0.2">
      <c r="B571" s="7" t="s">
        <v>306</v>
      </c>
    </row>
    <row r="572" spans="2:2" x14ac:dyDescent="0.2">
      <c r="B572" s="7" t="s">
        <v>158</v>
      </c>
    </row>
    <row r="573" spans="2:2" x14ac:dyDescent="0.2">
      <c r="B573" s="7" t="s">
        <v>75</v>
      </c>
    </row>
    <row r="574" spans="2:2" x14ac:dyDescent="0.2">
      <c r="B574" s="7" t="s">
        <v>382</v>
      </c>
    </row>
    <row r="575" spans="2:2" x14ac:dyDescent="0.2">
      <c r="B575" s="7" t="s">
        <v>331</v>
      </c>
    </row>
    <row r="576" spans="2:2" x14ac:dyDescent="0.2">
      <c r="B576" s="7" t="s">
        <v>120</v>
      </c>
    </row>
    <row r="577" spans="1:2" x14ac:dyDescent="0.2">
      <c r="A577" s="7" t="s">
        <v>630</v>
      </c>
      <c r="B577" s="7" t="s">
        <v>183</v>
      </c>
    </row>
    <row r="578" spans="1:2" x14ac:dyDescent="0.2">
      <c r="B578" s="7" t="s">
        <v>190</v>
      </c>
    </row>
    <row r="579" spans="1:2" x14ac:dyDescent="0.2">
      <c r="B579" s="7" t="s">
        <v>13</v>
      </c>
    </row>
    <row r="580" spans="1:2" x14ac:dyDescent="0.2">
      <c r="B580" s="7" t="s">
        <v>532</v>
      </c>
    </row>
    <row r="581" spans="1:2" x14ac:dyDescent="0.2">
      <c r="B581" s="7" t="s">
        <v>395</v>
      </c>
    </row>
    <row r="582" spans="1:2" x14ac:dyDescent="0.2">
      <c r="B582" s="7" t="s">
        <v>18</v>
      </c>
    </row>
    <row r="583" spans="1:2" x14ac:dyDescent="0.2">
      <c r="B583" s="7" t="s">
        <v>138</v>
      </c>
    </row>
    <row r="584" spans="1:2" x14ac:dyDescent="0.2">
      <c r="B584" s="7" t="s">
        <v>241</v>
      </c>
    </row>
    <row r="585" spans="1:2" x14ac:dyDescent="0.2">
      <c r="B585" s="7" t="s">
        <v>513</v>
      </c>
    </row>
    <row r="586" spans="1:2" x14ac:dyDescent="0.2">
      <c r="B586" s="7" t="s">
        <v>218</v>
      </c>
    </row>
    <row r="587" spans="1:2" x14ac:dyDescent="0.2">
      <c r="B587" s="7" t="s">
        <v>191</v>
      </c>
    </row>
    <row r="588" spans="1:2" x14ac:dyDescent="0.2">
      <c r="B588" s="7" t="s">
        <v>36</v>
      </c>
    </row>
    <row r="589" spans="1:2" x14ac:dyDescent="0.2">
      <c r="B589" s="7" t="s">
        <v>41</v>
      </c>
    </row>
    <row r="590" spans="1:2" x14ac:dyDescent="0.2">
      <c r="B590" s="7" t="s">
        <v>521</v>
      </c>
    </row>
    <row r="591" spans="1:2" x14ac:dyDescent="0.2">
      <c r="B591" s="7" t="s">
        <v>221</v>
      </c>
    </row>
    <row r="592" spans="1:2" x14ac:dyDescent="0.2">
      <c r="B592" s="7" t="s">
        <v>259</v>
      </c>
    </row>
    <row r="593" spans="1:2" x14ac:dyDescent="0.2">
      <c r="B593" s="7" t="s">
        <v>300</v>
      </c>
    </row>
    <row r="594" spans="1:2" x14ac:dyDescent="0.2">
      <c r="B594" s="7" t="s">
        <v>616</v>
      </c>
    </row>
    <row r="595" spans="1:2" x14ac:dyDescent="0.2">
      <c r="B595" s="7" t="s">
        <v>70</v>
      </c>
    </row>
    <row r="596" spans="1:2" x14ac:dyDescent="0.2">
      <c r="B596" s="7" t="s">
        <v>158</v>
      </c>
    </row>
    <row r="597" spans="1:2" x14ac:dyDescent="0.2">
      <c r="B597" s="7" t="s">
        <v>266</v>
      </c>
    </row>
    <row r="598" spans="1:2" x14ac:dyDescent="0.2">
      <c r="B598" s="7" t="s">
        <v>344</v>
      </c>
    </row>
    <row r="599" spans="1:2" x14ac:dyDescent="0.2">
      <c r="B599" s="7" t="s">
        <v>537</v>
      </c>
    </row>
    <row r="600" spans="1:2" x14ac:dyDescent="0.2">
      <c r="B600" s="7" t="s">
        <v>539</v>
      </c>
    </row>
    <row r="601" spans="1:2" x14ac:dyDescent="0.2">
      <c r="B601" s="7" t="s">
        <v>182</v>
      </c>
    </row>
    <row r="602" spans="1:2" x14ac:dyDescent="0.2">
      <c r="A602" s="7" t="s">
        <v>620</v>
      </c>
      <c r="B602" s="7" t="s">
        <v>183</v>
      </c>
    </row>
    <row r="603" spans="1:2" x14ac:dyDescent="0.2">
      <c r="B603" s="7" t="s">
        <v>286</v>
      </c>
    </row>
    <row r="604" spans="1:2" x14ac:dyDescent="0.2">
      <c r="B604" s="7" t="s">
        <v>486</v>
      </c>
    </row>
    <row r="605" spans="1:2" x14ac:dyDescent="0.2">
      <c r="B605" s="7" t="s">
        <v>536</v>
      </c>
    </row>
    <row r="606" spans="1:2" x14ac:dyDescent="0.2">
      <c r="B606" s="7" t="s">
        <v>621</v>
      </c>
    </row>
    <row r="607" spans="1:2" x14ac:dyDescent="0.2">
      <c r="B607" s="7" t="s">
        <v>241</v>
      </c>
    </row>
    <row r="608" spans="1:2" x14ac:dyDescent="0.2">
      <c r="B608" s="7" t="s">
        <v>513</v>
      </c>
    </row>
    <row r="609" spans="2:2" x14ac:dyDescent="0.2">
      <c r="B609" s="7" t="s">
        <v>541</v>
      </c>
    </row>
    <row r="610" spans="2:2" x14ac:dyDescent="0.2">
      <c r="B610" s="7" t="s">
        <v>194</v>
      </c>
    </row>
    <row r="611" spans="2:2" x14ac:dyDescent="0.2">
      <c r="B611" s="7" t="s">
        <v>604</v>
      </c>
    </row>
    <row r="612" spans="2:2" x14ac:dyDescent="0.2">
      <c r="B612" s="7" t="s">
        <v>219</v>
      </c>
    </row>
    <row r="613" spans="2:2" x14ac:dyDescent="0.2">
      <c r="B613" s="7" t="s">
        <v>196</v>
      </c>
    </row>
    <row r="614" spans="2:2" x14ac:dyDescent="0.2">
      <c r="B614" s="7" t="s">
        <v>256</v>
      </c>
    </row>
    <row r="615" spans="2:2" x14ac:dyDescent="0.2">
      <c r="B615" s="7" t="s">
        <v>198</v>
      </c>
    </row>
    <row r="616" spans="2:2" x14ac:dyDescent="0.2">
      <c r="B616" s="7" t="s">
        <v>308</v>
      </c>
    </row>
    <row r="617" spans="2:2" x14ac:dyDescent="0.2">
      <c r="B617" s="7" t="s">
        <v>175</v>
      </c>
    </row>
    <row r="618" spans="2:2" x14ac:dyDescent="0.2">
      <c r="B618" s="7" t="s">
        <v>200</v>
      </c>
    </row>
    <row r="619" spans="2:2" x14ac:dyDescent="0.2">
      <c r="B619" s="7" t="s">
        <v>52</v>
      </c>
    </row>
    <row r="620" spans="2:2" x14ac:dyDescent="0.2">
      <c r="B620" s="7" t="s">
        <v>454</v>
      </c>
    </row>
    <row r="621" spans="2:2" x14ac:dyDescent="0.2">
      <c r="B621" s="7" t="s">
        <v>109</v>
      </c>
    </row>
    <row r="622" spans="2:2" x14ac:dyDescent="0.2">
      <c r="B622" s="7" t="s">
        <v>367</v>
      </c>
    </row>
    <row r="623" spans="2:2" x14ac:dyDescent="0.2">
      <c r="B623" s="7" t="s">
        <v>263</v>
      </c>
    </row>
    <row r="624" spans="2:2" x14ac:dyDescent="0.2">
      <c r="B624" s="7" t="s">
        <v>306</v>
      </c>
    </row>
    <row r="625" spans="2:2" x14ac:dyDescent="0.2">
      <c r="B625" s="7" t="s">
        <v>201</v>
      </c>
    </row>
    <row r="626" spans="2:2" x14ac:dyDescent="0.2">
      <c r="B626" s="7" t="s">
        <v>527</v>
      </c>
    </row>
    <row r="627" spans="2:2" x14ac:dyDescent="0.2">
      <c r="B627" s="7" t="s">
        <v>114</v>
      </c>
    </row>
    <row r="628" spans="2:2" x14ac:dyDescent="0.2">
      <c r="B628" s="7" t="s">
        <v>267</v>
      </c>
    </row>
    <row r="629" spans="2:2" x14ac:dyDescent="0.2">
      <c r="B629" s="7" t="s">
        <v>75</v>
      </c>
    </row>
    <row r="630" spans="2:2" x14ac:dyDescent="0.2">
      <c r="B630" s="7" t="s">
        <v>344</v>
      </c>
    </row>
    <row r="631" spans="2:2" x14ac:dyDescent="0.2">
      <c r="B631" s="7" t="s">
        <v>91</v>
      </c>
    </row>
    <row r="632" spans="2:2" x14ac:dyDescent="0.2">
      <c r="B632" s="7" t="s">
        <v>202</v>
      </c>
    </row>
    <row r="633" spans="2:2" x14ac:dyDescent="0.2">
      <c r="B633" s="7" t="s">
        <v>272</v>
      </c>
    </row>
    <row r="634" spans="2:2" x14ac:dyDescent="0.2">
      <c r="B634" s="7" t="s">
        <v>508</v>
      </c>
    </row>
    <row r="635" spans="2:2" x14ac:dyDescent="0.2">
      <c r="B635" s="7" t="s">
        <v>370</v>
      </c>
    </row>
    <row r="636" spans="2:2" x14ac:dyDescent="0.2">
      <c r="B636" s="7" t="s">
        <v>101</v>
      </c>
    </row>
    <row r="637" spans="2:2" x14ac:dyDescent="0.2">
      <c r="B637" s="7" t="s">
        <v>530</v>
      </c>
    </row>
    <row r="638" spans="2:2" x14ac:dyDescent="0.2">
      <c r="B638" s="7" t="s">
        <v>120</v>
      </c>
    </row>
    <row r="639" spans="2:2" x14ac:dyDescent="0.2">
      <c r="B639" s="7" t="s">
        <v>181</v>
      </c>
    </row>
    <row r="640" spans="2:2" x14ac:dyDescent="0.2">
      <c r="B640" s="7" t="s">
        <v>145</v>
      </c>
    </row>
    <row r="641" spans="1:2" x14ac:dyDescent="0.2">
      <c r="B641" s="7" t="s">
        <v>182</v>
      </c>
    </row>
    <row r="642" spans="1:2" x14ac:dyDescent="0.2">
      <c r="A642" s="7" t="s">
        <v>631</v>
      </c>
      <c r="B642" s="7" t="s">
        <v>205</v>
      </c>
    </row>
    <row r="643" spans="1:2" x14ac:dyDescent="0.2">
      <c r="B643" s="7" t="s">
        <v>124</v>
      </c>
    </row>
    <row r="644" spans="1:2" x14ac:dyDescent="0.2">
      <c r="B644" s="7" t="s">
        <v>281</v>
      </c>
    </row>
    <row r="645" spans="1:2" x14ac:dyDescent="0.2">
      <c r="B645" s="7" t="s">
        <v>10</v>
      </c>
    </row>
    <row r="646" spans="1:2" x14ac:dyDescent="0.2">
      <c r="B646" s="7" t="s">
        <v>286</v>
      </c>
    </row>
    <row r="647" spans="1:2" x14ac:dyDescent="0.2">
      <c r="B647" s="7" t="s">
        <v>13</v>
      </c>
    </row>
    <row r="648" spans="1:2" x14ac:dyDescent="0.2">
      <c r="B648" s="7" t="s">
        <v>532</v>
      </c>
    </row>
    <row r="649" spans="1:2" x14ac:dyDescent="0.2">
      <c r="B649" s="7" t="s">
        <v>18</v>
      </c>
    </row>
    <row r="650" spans="1:2" x14ac:dyDescent="0.2">
      <c r="B650" s="7" t="s">
        <v>513</v>
      </c>
    </row>
    <row r="651" spans="1:2" x14ac:dyDescent="0.2">
      <c r="B651" s="7" t="s">
        <v>302</v>
      </c>
    </row>
    <row r="652" spans="1:2" x14ac:dyDescent="0.2">
      <c r="B652" s="7" t="s">
        <v>253</v>
      </c>
    </row>
    <row r="653" spans="1:2" x14ac:dyDescent="0.2">
      <c r="B653" s="7" t="s">
        <v>107</v>
      </c>
    </row>
    <row r="654" spans="1:2" x14ac:dyDescent="0.2">
      <c r="B654" s="7" t="s">
        <v>229</v>
      </c>
    </row>
    <row r="655" spans="1:2" x14ac:dyDescent="0.2">
      <c r="B655" s="7" t="s">
        <v>43</v>
      </c>
    </row>
    <row r="656" spans="1:2" x14ac:dyDescent="0.2">
      <c r="B656" s="7" t="s">
        <v>314</v>
      </c>
    </row>
    <row r="657" spans="1:2" x14ac:dyDescent="0.2">
      <c r="B657" s="7" t="s">
        <v>221</v>
      </c>
    </row>
    <row r="658" spans="1:2" x14ac:dyDescent="0.2">
      <c r="B658" s="7" t="s">
        <v>222</v>
      </c>
    </row>
    <row r="659" spans="1:2" x14ac:dyDescent="0.2">
      <c r="B659" s="7" t="s">
        <v>419</v>
      </c>
    </row>
    <row r="660" spans="1:2" x14ac:dyDescent="0.2">
      <c r="B660" s="7" t="s">
        <v>632</v>
      </c>
    </row>
    <row r="661" spans="1:2" x14ac:dyDescent="0.2">
      <c r="B661" s="7" t="s">
        <v>344</v>
      </c>
    </row>
    <row r="662" spans="1:2" x14ac:dyDescent="0.2">
      <c r="B662" s="7" t="s">
        <v>87</v>
      </c>
    </row>
    <row r="663" spans="1:2" x14ac:dyDescent="0.2">
      <c r="B663" s="7" t="s">
        <v>118</v>
      </c>
    </row>
    <row r="664" spans="1:2" x14ac:dyDescent="0.2">
      <c r="B664" s="7" t="s">
        <v>162</v>
      </c>
    </row>
    <row r="665" spans="1:2" x14ac:dyDescent="0.2">
      <c r="B665" s="7" t="s">
        <v>230</v>
      </c>
    </row>
    <row r="666" spans="1:2" x14ac:dyDescent="0.2">
      <c r="B666" s="7" t="s">
        <v>119</v>
      </c>
    </row>
    <row r="667" spans="1:2" x14ac:dyDescent="0.2">
      <c r="A667" s="7" t="s">
        <v>635</v>
      </c>
      <c r="B667" s="7" t="s">
        <v>471</v>
      </c>
    </row>
    <row r="668" spans="1:2" x14ac:dyDescent="0.2">
      <c r="A668" s="7" t="s">
        <v>636</v>
      </c>
      <c r="B668" s="7" t="s">
        <v>219</v>
      </c>
    </row>
    <row r="669" spans="1:2" x14ac:dyDescent="0.2">
      <c r="B669" s="7" t="s">
        <v>137</v>
      </c>
    </row>
    <row r="670" spans="1:2" x14ac:dyDescent="0.2">
      <c r="B670" s="7" t="s">
        <v>340</v>
      </c>
    </row>
    <row r="671" spans="1:2" x14ac:dyDescent="0.2">
      <c r="B671" s="7" t="s">
        <v>300</v>
      </c>
    </row>
    <row r="672" spans="1:2" x14ac:dyDescent="0.2">
      <c r="B672" s="7" t="s">
        <v>261</v>
      </c>
    </row>
    <row r="673" spans="1:2" x14ac:dyDescent="0.2">
      <c r="B673" s="7" t="s">
        <v>64</v>
      </c>
    </row>
    <row r="674" spans="1:2" x14ac:dyDescent="0.2">
      <c r="B674" s="7" t="s">
        <v>264</v>
      </c>
    </row>
    <row r="675" spans="1:2" x14ac:dyDescent="0.2">
      <c r="B675" s="7" t="s">
        <v>343</v>
      </c>
    </row>
    <row r="676" spans="1:2" x14ac:dyDescent="0.2">
      <c r="B676" s="7" t="s">
        <v>323</v>
      </c>
    </row>
    <row r="677" spans="1:2" x14ac:dyDescent="0.2">
      <c r="B677" s="7" t="s">
        <v>228</v>
      </c>
    </row>
    <row r="678" spans="1:2" x14ac:dyDescent="0.2">
      <c r="A678" s="7" t="s">
        <v>377</v>
      </c>
      <c r="B678" s="7" t="s">
        <v>359</v>
      </c>
    </row>
    <row r="679" spans="1:2" x14ac:dyDescent="0.2">
      <c r="B679" s="7" t="s">
        <v>186</v>
      </c>
    </row>
    <row r="680" spans="1:2" x14ac:dyDescent="0.2">
      <c r="B680" s="7" t="s">
        <v>211</v>
      </c>
    </row>
    <row r="681" spans="1:2" x14ac:dyDescent="0.2">
      <c r="B681" s="7" t="s">
        <v>378</v>
      </c>
    </row>
    <row r="682" spans="1:2" x14ac:dyDescent="0.2">
      <c r="B682" s="7" t="s">
        <v>25</v>
      </c>
    </row>
    <row r="683" spans="1:2" x14ac:dyDescent="0.2">
      <c r="B683" s="7" t="s">
        <v>242</v>
      </c>
    </row>
    <row r="684" spans="1:2" x14ac:dyDescent="0.2">
      <c r="B684" s="7" t="s">
        <v>27</v>
      </c>
    </row>
    <row r="685" spans="1:2" x14ac:dyDescent="0.2">
      <c r="B685" s="7" t="s">
        <v>350</v>
      </c>
    </row>
    <row r="686" spans="1:2" x14ac:dyDescent="0.2">
      <c r="B686" s="7" t="s">
        <v>379</v>
      </c>
    </row>
    <row r="687" spans="1:2" x14ac:dyDescent="0.2">
      <c r="B687" s="7" t="s">
        <v>380</v>
      </c>
    </row>
    <row r="688" spans="1:2" x14ac:dyDescent="0.2">
      <c r="B688" s="7" t="s">
        <v>38</v>
      </c>
    </row>
    <row r="689" spans="1:2" x14ac:dyDescent="0.2">
      <c r="B689" s="7" t="s">
        <v>381</v>
      </c>
    </row>
    <row r="690" spans="1:2" x14ac:dyDescent="0.2">
      <c r="B690" s="7" t="s">
        <v>311</v>
      </c>
    </row>
    <row r="691" spans="1:2" x14ac:dyDescent="0.2">
      <c r="B691" s="7" t="s">
        <v>137</v>
      </c>
    </row>
    <row r="692" spans="1:2" x14ac:dyDescent="0.2">
      <c r="B692" s="7" t="s">
        <v>317</v>
      </c>
    </row>
    <row r="693" spans="1:2" x14ac:dyDescent="0.2">
      <c r="B693" s="7" t="s">
        <v>262</v>
      </c>
    </row>
    <row r="694" spans="1:2" x14ac:dyDescent="0.2">
      <c r="B694" s="7" t="s">
        <v>367</v>
      </c>
    </row>
    <row r="695" spans="1:2" x14ac:dyDescent="0.2">
      <c r="B695" s="7" t="s">
        <v>306</v>
      </c>
    </row>
    <row r="696" spans="1:2" x14ac:dyDescent="0.2">
      <c r="B696" s="7" t="s">
        <v>382</v>
      </c>
    </row>
    <row r="697" spans="1:2" x14ac:dyDescent="0.2">
      <c r="B697" s="7" t="s">
        <v>162</v>
      </c>
    </row>
    <row r="698" spans="1:2" x14ac:dyDescent="0.2">
      <c r="B698" s="7" t="s">
        <v>383</v>
      </c>
    </row>
    <row r="699" spans="1:2" x14ac:dyDescent="0.2">
      <c r="B699" s="7" t="s">
        <v>384</v>
      </c>
    </row>
    <row r="700" spans="1:2" x14ac:dyDescent="0.2">
      <c r="B700" s="7" t="s">
        <v>376</v>
      </c>
    </row>
    <row r="701" spans="1:2" x14ac:dyDescent="0.2">
      <c r="B701" s="7" t="s">
        <v>368</v>
      </c>
    </row>
    <row r="702" spans="1:2" x14ac:dyDescent="0.2">
      <c r="A702" s="7" t="s">
        <v>462</v>
      </c>
      <c r="B702" s="7" t="s">
        <v>16</v>
      </c>
    </row>
    <row r="703" spans="1:2" x14ac:dyDescent="0.2">
      <c r="B703" s="7" t="s">
        <v>464</v>
      </c>
    </row>
    <row r="704" spans="1:2" x14ac:dyDescent="0.2">
      <c r="B704" s="7" t="s">
        <v>466</v>
      </c>
    </row>
    <row r="705" spans="1:2" x14ac:dyDescent="0.2">
      <c r="B705" s="7" t="s">
        <v>260</v>
      </c>
    </row>
    <row r="706" spans="1:2" x14ac:dyDescent="0.2">
      <c r="B706" s="7" t="s">
        <v>468</v>
      </c>
    </row>
    <row r="707" spans="1:2" x14ac:dyDescent="0.2">
      <c r="B707" s="7" t="s">
        <v>471</v>
      </c>
    </row>
    <row r="708" spans="1:2" x14ac:dyDescent="0.2">
      <c r="B708" s="7" t="s">
        <v>264</v>
      </c>
    </row>
    <row r="709" spans="1:2" x14ac:dyDescent="0.2">
      <c r="B709" s="7" t="s">
        <v>102</v>
      </c>
    </row>
    <row r="710" spans="1:2" x14ac:dyDescent="0.2">
      <c r="B710" s="7" t="s">
        <v>405</v>
      </c>
    </row>
    <row r="711" spans="1:2" x14ac:dyDescent="0.2">
      <c r="A711" s="7" t="s">
        <v>633</v>
      </c>
      <c r="B711" s="7" t="s">
        <v>205</v>
      </c>
    </row>
    <row r="712" spans="1:2" x14ac:dyDescent="0.2">
      <c r="B712" s="7" t="s">
        <v>484</v>
      </c>
    </row>
    <row r="713" spans="1:2" x14ac:dyDescent="0.2">
      <c r="B713" s="7" t="s">
        <v>431</v>
      </c>
    </row>
    <row r="714" spans="1:2" x14ac:dyDescent="0.2">
      <c r="B714" s="7" t="s">
        <v>395</v>
      </c>
    </row>
    <row r="715" spans="1:2" x14ac:dyDescent="0.2">
      <c r="B715" s="7" t="s">
        <v>169</v>
      </c>
    </row>
    <row r="716" spans="1:2" x14ac:dyDescent="0.2">
      <c r="B716" s="7" t="s">
        <v>533</v>
      </c>
    </row>
    <row r="717" spans="1:2" x14ac:dyDescent="0.2">
      <c r="B717" s="7" t="s">
        <v>634</v>
      </c>
    </row>
    <row r="718" spans="1:2" x14ac:dyDescent="0.2">
      <c r="B718" s="7" t="s">
        <v>247</v>
      </c>
    </row>
    <row r="719" spans="1:2" x14ac:dyDescent="0.2">
      <c r="B719" s="7" t="s">
        <v>249</v>
      </c>
    </row>
    <row r="720" spans="1:2" x14ac:dyDescent="0.2">
      <c r="B720" s="7" t="s">
        <v>193</v>
      </c>
    </row>
    <row r="721" spans="1:2" x14ac:dyDescent="0.2">
      <c r="B721" s="7" t="s">
        <v>492</v>
      </c>
    </row>
    <row r="722" spans="1:2" x14ac:dyDescent="0.2">
      <c r="B722" s="7" t="s">
        <v>308</v>
      </c>
    </row>
    <row r="723" spans="1:2" x14ac:dyDescent="0.2">
      <c r="B723" s="7" t="s">
        <v>364</v>
      </c>
    </row>
    <row r="724" spans="1:2" x14ac:dyDescent="0.2">
      <c r="B724" s="7" t="s">
        <v>259</v>
      </c>
    </row>
    <row r="725" spans="1:2" x14ac:dyDescent="0.2">
      <c r="B725" s="7" t="s">
        <v>158</v>
      </c>
    </row>
    <row r="726" spans="1:2" x14ac:dyDescent="0.2">
      <c r="B726" s="7" t="s">
        <v>266</v>
      </c>
    </row>
    <row r="727" spans="1:2" x14ac:dyDescent="0.2">
      <c r="B727" s="7" t="s">
        <v>269</v>
      </c>
    </row>
    <row r="728" spans="1:2" x14ac:dyDescent="0.2">
      <c r="B728" s="7" t="s">
        <v>331</v>
      </c>
    </row>
    <row r="729" spans="1:2" x14ac:dyDescent="0.2">
      <c r="B729" s="7" t="s">
        <v>119</v>
      </c>
    </row>
    <row r="730" spans="1:2" x14ac:dyDescent="0.2">
      <c r="B730" s="7" t="s">
        <v>120</v>
      </c>
    </row>
    <row r="731" spans="1:2" x14ac:dyDescent="0.2">
      <c r="A731" s="7" t="s">
        <v>548</v>
      </c>
      <c r="B731" s="7" t="s">
        <v>285</v>
      </c>
    </row>
    <row r="732" spans="1:2" x14ac:dyDescent="0.2">
      <c r="B732" s="7" t="s">
        <v>410</v>
      </c>
    </row>
    <row r="733" spans="1:2" x14ac:dyDescent="0.2">
      <c r="B733" s="7" t="s">
        <v>214</v>
      </c>
    </row>
    <row r="734" spans="1:2" x14ac:dyDescent="0.2">
      <c r="B734" s="7" t="s">
        <v>172</v>
      </c>
    </row>
    <row r="735" spans="1:2" x14ac:dyDescent="0.2">
      <c r="B735" s="7" t="s">
        <v>451</v>
      </c>
    </row>
    <row r="736" spans="1:2" x14ac:dyDescent="0.2">
      <c r="B736" s="7" t="s">
        <v>611</v>
      </c>
    </row>
    <row r="737" spans="1:2" x14ac:dyDescent="0.2">
      <c r="B737" s="7" t="s">
        <v>85</v>
      </c>
    </row>
    <row r="738" spans="1:2" x14ac:dyDescent="0.2">
      <c r="B738" s="7" t="s">
        <v>370</v>
      </c>
    </row>
    <row r="739" spans="1:2" x14ac:dyDescent="0.2">
      <c r="A739" s="7" t="s">
        <v>647</v>
      </c>
      <c r="B739" s="7" t="s">
        <v>614</v>
      </c>
    </row>
    <row r="740" spans="1:2" x14ac:dyDescent="0.2">
      <c r="B740" s="7" t="s">
        <v>380</v>
      </c>
    </row>
    <row r="741" spans="1:2" x14ac:dyDescent="0.2">
      <c r="B741" s="7" t="s">
        <v>97</v>
      </c>
    </row>
    <row r="742" spans="1:2" x14ac:dyDescent="0.2">
      <c r="B742" s="7" t="s">
        <v>98</v>
      </c>
    </row>
    <row r="743" spans="1:2" x14ac:dyDescent="0.2">
      <c r="A743" s="7" t="s">
        <v>394</v>
      </c>
      <c r="B743" s="7" t="s">
        <v>237</v>
      </c>
    </row>
    <row r="744" spans="1:2" x14ac:dyDescent="0.2">
      <c r="B744" s="7" t="s">
        <v>291</v>
      </c>
    </row>
    <row r="745" spans="1:2" x14ac:dyDescent="0.2">
      <c r="B745" s="7" t="s">
        <v>293</v>
      </c>
    </row>
    <row r="746" spans="1:2" x14ac:dyDescent="0.2">
      <c r="B746" s="7" t="s">
        <v>296</v>
      </c>
    </row>
    <row r="747" spans="1:2" x14ac:dyDescent="0.2">
      <c r="B747" s="7" t="s">
        <v>395</v>
      </c>
    </row>
    <row r="748" spans="1:2" x14ac:dyDescent="0.2">
      <c r="B748" s="7" t="s">
        <v>214</v>
      </c>
    </row>
    <row r="749" spans="1:2" x14ac:dyDescent="0.2">
      <c r="B749" s="7" t="s">
        <v>25</v>
      </c>
    </row>
    <row r="750" spans="1:2" x14ac:dyDescent="0.2">
      <c r="B750" s="7" t="s">
        <v>216</v>
      </c>
    </row>
    <row r="751" spans="1:2" x14ac:dyDescent="0.2">
      <c r="B751" s="7" t="s">
        <v>33</v>
      </c>
    </row>
    <row r="752" spans="1:2" x14ac:dyDescent="0.2">
      <c r="B752" s="7" t="s">
        <v>362</v>
      </c>
    </row>
    <row r="753" spans="2:2" x14ac:dyDescent="0.2">
      <c r="B753" s="7" t="s">
        <v>196</v>
      </c>
    </row>
    <row r="754" spans="2:2" x14ac:dyDescent="0.2">
      <c r="B754" s="7" t="s">
        <v>141</v>
      </c>
    </row>
    <row r="755" spans="2:2" x14ac:dyDescent="0.2">
      <c r="B755" s="7" t="s">
        <v>174</v>
      </c>
    </row>
    <row r="756" spans="2:2" x14ac:dyDescent="0.2">
      <c r="B756" s="7" t="s">
        <v>137</v>
      </c>
    </row>
    <row r="757" spans="2:2" x14ac:dyDescent="0.2">
      <c r="B757" s="7" t="s">
        <v>340</v>
      </c>
    </row>
    <row r="758" spans="2:2" x14ac:dyDescent="0.2">
      <c r="B758" s="7" t="s">
        <v>175</v>
      </c>
    </row>
    <row r="759" spans="2:2" x14ac:dyDescent="0.2">
      <c r="B759" s="7" t="s">
        <v>393</v>
      </c>
    </row>
    <row r="760" spans="2:2" x14ac:dyDescent="0.2">
      <c r="B760" s="7" t="s">
        <v>200</v>
      </c>
    </row>
    <row r="761" spans="2:2" x14ac:dyDescent="0.2">
      <c r="B761" s="7" t="s">
        <v>397</v>
      </c>
    </row>
    <row r="762" spans="2:2" x14ac:dyDescent="0.2">
      <c r="B762" s="7" t="s">
        <v>259</v>
      </c>
    </row>
    <row r="763" spans="2:2" x14ac:dyDescent="0.2">
      <c r="B763" s="7" t="s">
        <v>317</v>
      </c>
    </row>
    <row r="764" spans="2:2" x14ac:dyDescent="0.2">
      <c r="B764" s="7" t="s">
        <v>398</v>
      </c>
    </row>
    <row r="765" spans="2:2" x14ac:dyDescent="0.2">
      <c r="B765" s="7" t="s">
        <v>260</v>
      </c>
    </row>
    <row r="766" spans="2:2" x14ac:dyDescent="0.2">
      <c r="B766" s="7" t="s">
        <v>300</v>
      </c>
    </row>
    <row r="767" spans="2:2" x14ac:dyDescent="0.2">
      <c r="B767" s="7" t="s">
        <v>261</v>
      </c>
    </row>
    <row r="768" spans="2:2" x14ac:dyDescent="0.2">
      <c r="B768" s="7" t="s">
        <v>320</v>
      </c>
    </row>
    <row r="769" spans="2:2" x14ac:dyDescent="0.2">
      <c r="B769" s="7" t="s">
        <v>263</v>
      </c>
    </row>
    <row r="770" spans="2:2" x14ac:dyDescent="0.2">
      <c r="B770" s="7" t="s">
        <v>232</v>
      </c>
    </row>
    <row r="771" spans="2:2" x14ac:dyDescent="0.2">
      <c r="B771" s="7" t="s">
        <v>343</v>
      </c>
    </row>
    <row r="772" spans="2:2" x14ac:dyDescent="0.2">
      <c r="B772" s="7" t="s">
        <v>323</v>
      </c>
    </row>
    <row r="773" spans="2:2" x14ac:dyDescent="0.2">
      <c r="B773" s="7" t="s">
        <v>400</v>
      </c>
    </row>
    <row r="774" spans="2:2" x14ac:dyDescent="0.2">
      <c r="B774" s="7" t="s">
        <v>344</v>
      </c>
    </row>
    <row r="775" spans="2:2" x14ac:dyDescent="0.2">
      <c r="B775" s="7" t="s">
        <v>91</v>
      </c>
    </row>
    <row r="776" spans="2:2" x14ac:dyDescent="0.2">
      <c r="B776" s="7" t="s">
        <v>202</v>
      </c>
    </row>
    <row r="777" spans="2:2" x14ac:dyDescent="0.2">
      <c r="B777" s="7" t="s">
        <v>326</v>
      </c>
    </row>
    <row r="778" spans="2:2" x14ac:dyDescent="0.2">
      <c r="B778" s="7" t="s">
        <v>270</v>
      </c>
    </row>
    <row r="779" spans="2:2" x14ac:dyDescent="0.2">
      <c r="B779" s="7" t="s">
        <v>203</v>
      </c>
    </row>
    <row r="780" spans="2:2" x14ac:dyDescent="0.2">
      <c r="B780" s="7" t="s">
        <v>384</v>
      </c>
    </row>
    <row r="781" spans="2:2" x14ac:dyDescent="0.2">
      <c r="B781" s="7" t="s">
        <v>330</v>
      </c>
    </row>
    <row r="782" spans="2:2" x14ac:dyDescent="0.2">
      <c r="B782" s="7" t="s">
        <v>228</v>
      </c>
    </row>
    <row r="783" spans="2:2" x14ac:dyDescent="0.2">
      <c r="B783" s="7" t="s">
        <v>204</v>
      </c>
    </row>
    <row r="784" spans="2:2" x14ac:dyDescent="0.2">
      <c r="B784" s="7" t="s">
        <v>405</v>
      </c>
    </row>
    <row r="785" spans="1:2" x14ac:dyDescent="0.2">
      <c r="A785" s="7" t="s">
        <v>648</v>
      </c>
      <c r="B785" s="7" t="s">
        <v>236</v>
      </c>
    </row>
    <row r="786" spans="1:2" x14ac:dyDescent="0.2">
      <c r="B786" s="7" t="s">
        <v>210</v>
      </c>
    </row>
    <row r="787" spans="1:2" x14ac:dyDescent="0.2">
      <c r="B787" s="7" t="s">
        <v>395</v>
      </c>
    </row>
    <row r="788" spans="1:2" x14ac:dyDescent="0.2">
      <c r="B788" s="7" t="s">
        <v>338</v>
      </c>
    </row>
    <row r="789" spans="1:2" x14ac:dyDescent="0.2">
      <c r="B789" s="7" t="s">
        <v>533</v>
      </c>
    </row>
    <row r="790" spans="1:2" x14ac:dyDescent="0.2">
      <c r="B790" s="7" t="s">
        <v>240</v>
      </c>
    </row>
    <row r="791" spans="1:2" x14ac:dyDescent="0.2">
      <c r="B791" s="7" t="s">
        <v>172</v>
      </c>
    </row>
    <row r="792" spans="1:2" x14ac:dyDescent="0.2">
      <c r="B792" s="7" t="s">
        <v>634</v>
      </c>
    </row>
    <row r="793" spans="1:2" x14ac:dyDescent="0.2">
      <c r="B793" s="7" t="s">
        <v>541</v>
      </c>
    </row>
    <row r="794" spans="1:2" x14ac:dyDescent="0.2">
      <c r="B794" s="7" t="s">
        <v>142</v>
      </c>
    </row>
    <row r="795" spans="1:2" x14ac:dyDescent="0.2">
      <c r="B795" s="7" t="s">
        <v>193</v>
      </c>
    </row>
    <row r="796" spans="1:2" x14ac:dyDescent="0.2">
      <c r="B796" s="7" t="s">
        <v>36</v>
      </c>
    </row>
    <row r="797" spans="1:2" x14ac:dyDescent="0.2">
      <c r="B797" s="7" t="s">
        <v>43</v>
      </c>
    </row>
    <row r="798" spans="1:2" x14ac:dyDescent="0.2">
      <c r="B798" s="7" t="s">
        <v>200</v>
      </c>
    </row>
    <row r="799" spans="1:2" x14ac:dyDescent="0.2">
      <c r="B799" s="7" t="s">
        <v>397</v>
      </c>
    </row>
    <row r="800" spans="1:2" x14ac:dyDescent="0.2">
      <c r="B800" s="7" t="s">
        <v>64</v>
      </c>
    </row>
    <row r="801" spans="1:2" x14ac:dyDescent="0.2">
      <c r="B801" s="7" t="s">
        <v>282</v>
      </c>
    </row>
    <row r="802" spans="1:2" x14ac:dyDescent="0.2">
      <c r="B802" s="7" t="s">
        <v>95</v>
      </c>
    </row>
    <row r="803" spans="1:2" x14ac:dyDescent="0.2">
      <c r="B803" s="7" t="s">
        <v>162</v>
      </c>
    </row>
    <row r="804" spans="1:2" x14ac:dyDescent="0.2">
      <c r="B804" s="7" t="s">
        <v>384</v>
      </c>
    </row>
    <row r="805" spans="1:2" x14ac:dyDescent="0.2">
      <c r="B805" s="7" t="s">
        <v>100</v>
      </c>
    </row>
    <row r="806" spans="1:2" x14ac:dyDescent="0.2">
      <c r="B806" s="7" t="s">
        <v>101</v>
      </c>
    </row>
    <row r="807" spans="1:2" x14ac:dyDescent="0.2">
      <c r="B807" s="7" t="s">
        <v>204</v>
      </c>
    </row>
    <row r="808" spans="1:2" x14ac:dyDescent="0.2">
      <c r="A808" s="7" t="s">
        <v>651</v>
      </c>
      <c r="B808" s="7" t="s">
        <v>103</v>
      </c>
    </row>
    <row r="809" spans="1:2" x14ac:dyDescent="0.2">
      <c r="B809" s="7" t="s">
        <v>359</v>
      </c>
    </row>
    <row r="810" spans="1:2" x14ac:dyDescent="0.2">
      <c r="B810" s="7" t="s">
        <v>187</v>
      </c>
    </row>
    <row r="811" spans="1:2" x14ac:dyDescent="0.2">
      <c r="B811" s="7" t="s">
        <v>286</v>
      </c>
    </row>
    <row r="812" spans="1:2" x14ac:dyDescent="0.2">
      <c r="B812" s="7" t="s">
        <v>190</v>
      </c>
    </row>
    <row r="813" spans="1:2" x14ac:dyDescent="0.2">
      <c r="B813" s="7" t="s">
        <v>18</v>
      </c>
    </row>
    <row r="814" spans="1:2" x14ac:dyDescent="0.2">
      <c r="B814" s="7" t="s">
        <v>20</v>
      </c>
    </row>
    <row r="815" spans="1:2" x14ac:dyDescent="0.2">
      <c r="B815" s="7" t="s">
        <v>169</v>
      </c>
    </row>
    <row r="816" spans="1:2" x14ac:dyDescent="0.2">
      <c r="B816" s="7" t="s">
        <v>621</v>
      </c>
    </row>
    <row r="817" spans="2:2" x14ac:dyDescent="0.2">
      <c r="B817" s="7" t="s">
        <v>214</v>
      </c>
    </row>
    <row r="818" spans="2:2" x14ac:dyDescent="0.2">
      <c r="B818" s="7" t="s">
        <v>242</v>
      </c>
    </row>
    <row r="819" spans="2:2" x14ac:dyDescent="0.2">
      <c r="B819" s="7" t="s">
        <v>247</v>
      </c>
    </row>
    <row r="820" spans="2:2" x14ac:dyDescent="0.2">
      <c r="B820" s="7" t="s">
        <v>251</v>
      </c>
    </row>
    <row r="821" spans="2:2" x14ac:dyDescent="0.2">
      <c r="B821" s="7" t="s">
        <v>195</v>
      </c>
    </row>
    <row r="822" spans="2:2" x14ac:dyDescent="0.2">
      <c r="B822" s="7" t="s">
        <v>196</v>
      </c>
    </row>
    <row r="823" spans="2:2" x14ac:dyDescent="0.2">
      <c r="B823" s="7" t="s">
        <v>381</v>
      </c>
    </row>
    <row r="824" spans="2:2" x14ac:dyDescent="0.2">
      <c r="B824" s="7" t="s">
        <v>174</v>
      </c>
    </row>
    <row r="825" spans="2:2" x14ac:dyDescent="0.2">
      <c r="B825" s="7" t="s">
        <v>393</v>
      </c>
    </row>
    <row r="826" spans="2:2" x14ac:dyDescent="0.2">
      <c r="B826" s="7" t="s">
        <v>319</v>
      </c>
    </row>
    <row r="827" spans="2:2" x14ac:dyDescent="0.2">
      <c r="B827" s="7" t="s">
        <v>180</v>
      </c>
    </row>
    <row r="828" spans="2:2" x14ac:dyDescent="0.2">
      <c r="B828" s="7" t="s">
        <v>261</v>
      </c>
    </row>
    <row r="829" spans="2:2" x14ac:dyDescent="0.2">
      <c r="B829" s="7" t="s">
        <v>109</v>
      </c>
    </row>
    <row r="830" spans="2:2" x14ac:dyDescent="0.2">
      <c r="B830" s="7" t="s">
        <v>653</v>
      </c>
    </row>
    <row r="831" spans="2:2" x14ac:dyDescent="0.2">
      <c r="B831" s="7" t="s">
        <v>320</v>
      </c>
    </row>
    <row r="832" spans="2:2" x14ac:dyDescent="0.2">
      <c r="B832" s="7" t="s">
        <v>367</v>
      </c>
    </row>
    <row r="833" spans="1:2" x14ac:dyDescent="0.2">
      <c r="B833" s="7" t="s">
        <v>306</v>
      </c>
    </row>
    <row r="834" spans="1:2" x14ac:dyDescent="0.2">
      <c r="B834" s="7" t="s">
        <v>323</v>
      </c>
    </row>
    <row r="835" spans="1:2" x14ac:dyDescent="0.2">
      <c r="B835" s="7" t="s">
        <v>267</v>
      </c>
    </row>
    <row r="836" spans="1:2" x14ac:dyDescent="0.2">
      <c r="B836" s="7" t="s">
        <v>375</v>
      </c>
    </row>
    <row r="837" spans="1:2" x14ac:dyDescent="0.2">
      <c r="B837" s="7" t="s">
        <v>85</v>
      </c>
    </row>
    <row r="838" spans="1:2" x14ac:dyDescent="0.2">
      <c r="B838" s="7" t="s">
        <v>382</v>
      </c>
    </row>
    <row r="839" spans="1:2" x14ac:dyDescent="0.2">
      <c r="B839" s="7" t="s">
        <v>368</v>
      </c>
    </row>
    <row r="840" spans="1:2" x14ac:dyDescent="0.2">
      <c r="B840" s="7" t="s">
        <v>595</v>
      </c>
    </row>
    <row r="841" spans="1:2" x14ac:dyDescent="0.2">
      <c r="B841" s="7" t="s">
        <v>333</v>
      </c>
    </row>
    <row r="842" spans="1:2" x14ac:dyDescent="0.2">
      <c r="B842" s="7" t="s">
        <v>508</v>
      </c>
    </row>
    <row r="843" spans="1:2" x14ac:dyDescent="0.2">
      <c r="B843" s="7" t="s">
        <v>370</v>
      </c>
    </row>
    <row r="844" spans="1:2" x14ac:dyDescent="0.2">
      <c r="B844" s="7" t="s">
        <v>120</v>
      </c>
    </row>
    <row r="845" spans="1:2" x14ac:dyDescent="0.2">
      <c r="B845" s="7" t="s">
        <v>182</v>
      </c>
    </row>
    <row r="846" spans="1:2" x14ac:dyDescent="0.2">
      <c r="B846" s="7" t="s">
        <v>613</v>
      </c>
    </row>
    <row r="847" spans="1:2" x14ac:dyDescent="0.2">
      <c r="A847" s="7" t="s">
        <v>538</v>
      </c>
      <c r="B847" s="7" t="s">
        <v>233</v>
      </c>
    </row>
    <row r="848" spans="1:2" x14ac:dyDescent="0.2">
      <c r="B848" s="7" t="s">
        <v>186</v>
      </c>
    </row>
    <row r="849" spans="1:2" x14ac:dyDescent="0.2">
      <c r="B849" s="7" t="s">
        <v>219</v>
      </c>
    </row>
    <row r="850" spans="1:2" x14ac:dyDescent="0.2">
      <c r="B850" s="7" t="s">
        <v>539</v>
      </c>
    </row>
    <row r="851" spans="1:2" x14ac:dyDescent="0.2">
      <c r="B851" s="7" t="s">
        <v>208</v>
      </c>
    </row>
    <row r="852" spans="1:2" x14ac:dyDescent="0.2">
      <c r="A852" s="7" t="s">
        <v>605</v>
      </c>
      <c r="B852" s="7" t="s">
        <v>541</v>
      </c>
    </row>
    <row r="853" spans="1:2" x14ac:dyDescent="0.2">
      <c r="B853" s="7" t="s">
        <v>256</v>
      </c>
    </row>
    <row r="854" spans="1:2" x14ac:dyDescent="0.2">
      <c r="B854" s="7" t="s">
        <v>267</v>
      </c>
    </row>
    <row r="855" spans="1:2" x14ac:dyDescent="0.2">
      <c r="B855" s="7" t="s">
        <v>272</v>
      </c>
    </row>
    <row r="856" spans="1:2" x14ac:dyDescent="0.2">
      <c r="B856" s="7" t="s">
        <v>508</v>
      </c>
    </row>
    <row r="857" spans="1:2" x14ac:dyDescent="0.2">
      <c r="A857" s="7" t="s">
        <v>654</v>
      </c>
      <c r="B857" s="7" t="s">
        <v>210</v>
      </c>
    </row>
    <row r="858" spans="1:2" x14ac:dyDescent="0.2">
      <c r="B858" s="7" t="s">
        <v>294</v>
      </c>
    </row>
    <row r="859" spans="1:2" x14ac:dyDescent="0.2">
      <c r="B859" s="7" t="s">
        <v>295</v>
      </c>
    </row>
    <row r="860" spans="1:2" x14ac:dyDescent="0.2">
      <c r="B860" s="7" t="s">
        <v>20</v>
      </c>
    </row>
    <row r="861" spans="1:2" x14ac:dyDescent="0.2">
      <c r="B861" s="7" t="s">
        <v>297</v>
      </c>
    </row>
    <row r="862" spans="1:2" x14ac:dyDescent="0.2">
      <c r="B862" s="7" t="s">
        <v>172</v>
      </c>
    </row>
    <row r="863" spans="1:2" x14ac:dyDescent="0.2">
      <c r="B863" s="7" t="s">
        <v>193</v>
      </c>
    </row>
    <row r="864" spans="1:2" x14ac:dyDescent="0.2">
      <c r="B864" s="7" t="s">
        <v>655</v>
      </c>
    </row>
    <row r="865" spans="1:2" x14ac:dyDescent="0.2">
      <c r="B865" s="7" t="s">
        <v>254</v>
      </c>
    </row>
    <row r="866" spans="1:2" x14ac:dyDescent="0.2">
      <c r="B866" s="7" t="s">
        <v>310</v>
      </c>
    </row>
    <row r="867" spans="1:2" x14ac:dyDescent="0.2">
      <c r="B867" s="7" t="s">
        <v>316</v>
      </c>
    </row>
    <row r="868" spans="1:2" x14ac:dyDescent="0.2">
      <c r="B868" s="7" t="s">
        <v>317</v>
      </c>
    </row>
    <row r="869" spans="1:2" x14ac:dyDescent="0.2">
      <c r="B869" s="7" t="s">
        <v>353</v>
      </c>
    </row>
    <row r="870" spans="1:2" x14ac:dyDescent="0.2">
      <c r="B870" s="7" t="s">
        <v>277</v>
      </c>
    </row>
    <row r="871" spans="1:2" x14ac:dyDescent="0.2">
      <c r="A871" s="7" t="s">
        <v>656</v>
      </c>
      <c r="B871" s="7" t="s">
        <v>185</v>
      </c>
    </row>
    <row r="872" spans="1:2" x14ac:dyDescent="0.2">
      <c r="B872" s="7" t="s">
        <v>188</v>
      </c>
    </row>
    <row r="873" spans="1:2" x14ac:dyDescent="0.2">
      <c r="B873" s="7" t="s">
        <v>12</v>
      </c>
    </row>
    <row r="874" spans="1:2" x14ac:dyDescent="0.2">
      <c r="B874" s="7" t="s">
        <v>658</v>
      </c>
    </row>
    <row r="875" spans="1:2" x14ac:dyDescent="0.2">
      <c r="B875" s="7" t="s">
        <v>288</v>
      </c>
    </row>
    <row r="876" spans="1:2" x14ac:dyDescent="0.2">
      <c r="B876" s="7" t="s">
        <v>349</v>
      </c>
    </row>
    <row r="877" spans="1:2" x14ac:dyDescent="0.2">
      <c r="B877" s="7" t="s">
        <v>486</v>
      </c>
    </row>
    <row r="878" spans="1:2" x14ac:dyDescent="0.2">
      <c r="B878" s="7" t="s">
        <v>291</v>
      </c>
    </row>
    <row r="879" spans="1:2" x14ac:dyDescent="0.2">
      <c r="B879" s="7" t="s">
        <v>536</v>
      </c>
    </row>
    <row r="880" spans="1:2" x14ac:dyDescent="0.2">
      <c r="B880" s="7" t="s">
        <v>378</v>
      </c>
    </row>
    <row r="881" spans="2:2" x14ac:dyDescent="0.2">
      <c r="B881" s="7" t="s">
        <v>389</v>
      </c>
    </row>
    <row r="882" spans="2:2" x14ac:dyDescent="0.2">
      <c r="B882" s="7" t="s">
        <v>217</v>
      </c>
    </row>
    <row r="883" spans="2:2" x14ac:dyDescent="0.2">
      <c r="B883" s="7" t="s">
        <v>194</v>
      </c>
    </row>
    <row r="884" spans="2:2" x14ac:dyDescent="0.2">
      <c r="B884" s="7" t="s">
        <v>195</v>
      </c>
    </row>
    <row r="885" spans="2:2" x14ac:dyDescent="0.2">
      <c r="B885" s="7" t="s">
        <v>379</v>
      </c>
    </row>
    <row r="886" spans="2:2" x14ac:dyDescent="0.2">
      <c r="B886" s="7" t="s">
        <v>380</v>
      </c>
    </row>
    <row r="887" spans="2:2" x14ac:dyDescent="0.2">
      <c r="B887" s="7" t="s">
        <v>305</v>
      </c>
    </row>
    <row r="888" spans="2:2" x14ac:dyDescent="0.2">
      <c r="B888" s="7" t="s">
        <v>310</v>
      </c>
    </row>
    <row r="889" spans="2:2" x14ac:dyDescent="0.2">
      <c r="B889" s="7" t="s">
        <v>311</v>
      </c>
    </row>
    <row r="890" spans="2:2" x14ac:dyDescent="0.2">
      <c r="B890" s="7" t="s">
        <v>199</v>
      </c>
    </row>
    <row r="891" spans="2:2" x14ac:dyDescent="0.2">
      <c r="B891" s="7" t="s">
        <v>223</v>
      </c>
    </row>
    <row r="892" spans="2:2" x14ac:dyDescent="0.2">
      <c r="B892" s="7" t="s">
        <v>55</v>
      </c>
    </row>
    <row r="893" spans="2:2" x14ac:dyDescent="0.2">
      <c r="B893" s="7" t="s">
        <v>108</v>
      </c>
    </row>
    <row r="894" spans="2:2" x14ac:dyDescent="0.2">
      <c r="B894" s="7" t="s">
        <v>112</v>
      </c>
    </row>
    <row r="895" spans="2:2" x14ac:dyDescent="0.2">
      <c r="B895" s="7" t="s">
        <v>527</v>
      </c>
    </row>
    <row r="896" spans="2:2" x14ac:dyDescent="0.2">
      <c r="B896" s="7" t="s">
        <v>72</v>
      </c>
    </row>
    <row r="897" spans="1:2" x14ac:dyDescent="0.2">
      <c r="B897" s="7" t="s">
        <v>225</v>
      </c>
    </row>
    <row r="898" spans="1:2" x14ac:dyDescent="0.2">
      <c r="B898" s="7" t="s">
        <v>268</v>
      </c>
    </row>
    <row r="899" spans="1:2" x14ac:dyDescent="0.2">
      <c r="B899" s="7" t="s">
        <v>270</v>
      </c>
    </row>
    <row r="900" spans="1:2" x14ac:dyDescent="0.2">
      <c r="B900" s="7" t="s">
        <v>327</v>
      </c>
    </row>
    <row r="901" spans="1:2" x14ac:dyDescent="0.2">
      <c r="B901" s="7" t="s">
        <v>376</v>
      </c>
    </row>
    <row r="902" spans="1:2" x14ac:dyDescent="0.2">
      <c r="A902" s="7" t="s">
        <v>661</v>
      </c>
      <c r="B902" s="7" t="s">
        <v>614</v>
      </c>
    </row>
    <row r="903" spans="1:2" x14ac:dyDescent="0.2">
      <c r="B903" s="7" t="s">
        <v>205</v>
      </c>
    </row>
    <row r="904" spans="1:2" x14ac:dyDescent="0.2">
      <c r="B904" s="7" t="s">
        <v>233</v>
      </c>
    </row>
    <row r="905" spans="1:2" x14ac:dyDescent="0.2">
      <c r="B905" s="7" t="s">
        <v>281</v>
      </c>
    </row>
    <row r="906" spans="1:2" x14ac:dyDescent="0.2">
      <c r="B906" s="7" t="s">
        <v>103</v>
      </c>
    </row>
    <row r="907" spans="1:2" x14ac:dyDescent="0.2">
      <c r="B907" s="7" t="s">
        <v>237</v>
      </c>
    </row>
    <row r="908" spans="1:2" x14ac:dyDescent="0.2">
      <c r="B908" s="7" t="s">
        <v>359</v>
      </c>
    </row>
    <row r="909" spans="1:2" x14ac:dyDescent="0.2">
      <c r="B909" s="7" t="s">
        <v>241</v>
      </c>
    </row>
    <row r="910" spans="1:2" x14ac:dyDescent="0.2">
      <c r="B910" s="7" t="s">
        <v>25</v>
      </c>
    </row>
    <row r="911" spans="1:2" x14ac:dyDescent="0.2">
      <c r="B911" s="7" t="s">
        <v>135</v>
      </c>
    </row>
    <row r="912" spans="1:2" x14ac:dyDescent="0.2">
      <c r="B912" s="7" t="s">
        <v>244</v>
      </c>
    </row>
    <row r="913" spans="2:2" x14ac:dyDescent="0.2">
      <c r="B913" s="7" t="s">
        <v>663</v>
      </c>
    </row>
    <row r="914" spans="2:2" x14ac:dyDescent="0.2">
      <c r="B914" s="7" t="s">
        <v>31</v>
      </c>
    </row>
    <row r="915" spans="2:2" x14ac:dyDescent="0.2">
      <c r="B915" s="7" t="s">
        <v>492</v>
      </c>
    </row>
    <row r="916" spans="2:2" x14ac:dyDescent="0.2">
      <c r="B916" s="7" t="s">
        <v>449</v>
      </c>
    </row>
    <row r="917" spans="2:2" x14ac:dyDescent="0.2">
      <c r="B917" s="7" t="s">
        <v>301</v>
      </c>
    </row>
    <row r="918" spans="2:2" x14ac:dyDescent="0.2">
      <c r="B918" s="7" t="s">
        <v>350</v>
      </c>
    </row>
    <row r="919" spans="2:2" x14ac:dyDescent="0.2">
      <c r="B919" s="7" t="s">
        <v>253</v>
      </c>
    </row>
    <row r="920" spans="2:2" x14ac:dyDescent="0.2">
      <c r="B920" s="7" t="s">
        <v>195</v>
      </c>
    </row>
    <row r="921" spans="2:2" x14ac:dyDescent="0.2">
      <c r="B921" s="7" t="s">
        <v>254</v>
      </c>
    </row>
    <row r="922" spans="2:2" x14ac:dyDescent="0.2">
      <c r="B922" s="7" t="s">
        <v>219</v>
      </c>
    </row>
    <row r="923" spans="2:2" x14ac:dyDescent="0.2">
      <c r="B923" s="7" t="s">
        <v>197</v>
      </c>
    </row>
    <row r="924" spans="2:2" x14ac:dyDescent="0.2">
      <c r="B924" s="7" t="s">
        <v>220</v>
      </c>
    </row>
    <row r="925" spans="2:2" x14ac:dyDescent="0.2">
      <c r="B925" s="7" t="s">
        <v>175</v>
      </c>
    </row>
    <row r="926" spans="2:2" x14ac:dyDescent="0.2">
      <c r="B926" s="7" t="s">
        <v>364</v>
      </c>
    </row>
    <row r="927" spans="2:2" x14ac:dyDescent="0.2">
      <c r="B927" s="7" t="s">
        <v>454</v>
      </c>
    </row>
    <row r="928" spans="2:2" x14ac:dyDescent="0.2">
      <c r="B928" s="7" t="s">
        <v>260</v>
      </c>
    </row>
    <row r="929" spans="1:2" x14ac:dyDescent="0.2">
      <c r="B929" s="7" t="s">
        <v>134</v>
      </c>
    </row>
    <row r="930" spans="1:2" x14ac:dyDescent="0.2">
      <c r="B930" s="7" t="s">
        <v>62</v>
      </c>
    </row>
    <row r="931" spans="1:2" x14ac:dyDescent="0.2">
      <c r="B931" s="7" t="s">
        <v>232</v>
      </c>
    </row>
    <row r="932" spans="1:2" x14ac:dyDescent="0.2">
      <c r="B932" s="7" t="s">
        <v>201</v>
      </c>
    </row>
    <row r="933" spans="1:2" x14ac:dyDescent="0.2">
      <c r="B933" s="7" t="s">
        <v>114</v>
      </c>
    </row>
    <row r="934" spans="1:2" x14ac:dyDescent="0.2">
      <c r="B934" s="7" t="s">
        <v>116</v>
      </c>
    </row>
    <row r="935" spans="1:2" x14ac:dyDescent="0.2">
      <c r="B935" s="7" t="s">
        <v>117</v>
      </c>
    </row>
    <row r="936" spans="1:2" x14ac:dyDescent="0.2">
      <c r="B936" s="7" t="s">
        <v>383</v>
      </c>
    </row>
    <row r="937" spans="1:2" x14ac:dyDescent="0.2">
      <c r="B937" s="7" t="s">
        <v>272</v>
      </c>
    </row>
    <row r="938" spans="1:2" x14ac:dyDescent="0.2">
      <c r="B938" s="7" t="s">
        <v>203</v>
      </c>
    </row>
    <row r="939" spans="1:2" x14ac:dyDescent="0.2">
      <c r="B939" s="7" t="s">
        <v>537</v>
      </c>
    </row>
    <row r="940" spans="1:2" x14ac:dyDescent="0.2">
      <c r="B940" s="7" t="s">
        <v>273</v>
      </c>
    </row>
    <row r="941" spans="1:2" x14ac:dyDescent="0.2">
      <c r="B941" s="7" t="s">
        <v>539</v>
      </c>
    </row>
    <row r="942" spans="1:2" x14ac:dyDescent="0.2">
      <c r="B942" s="7" t="s">
        <v>208</v>
      </c>
    </row>
    <row r="943" spans="1:2" x14ac:dyDescent="0.2">
      <c r="B943" s="7" t="s">
        <v>98</v>
      </c>
    </row>
    <row r="944" spans="1:2" x14ac:dyDescent="0.2">
      <c r="A944" s="7" t="s">
        <v>665</v>
      </c>
      <c r="B944" s="7" t="s">
        <v>207</v>
      </c>
    </row>
    <row r="945" spans="2:2" x14ac:dyDescent="0.2">
      <c r="B945" s="7" t="s">
        <v>4</v>
      </c>
    </row>
    <row r="946" spans="2:2" x14ac:dyDescent="0.2">
      <c r="B946" s="7" t="s">
        <v>164</v>
      </c>
    </row>
    <row r="947" spans="2:2" x14ac:dyDescent="0.2">
      <c r="B947" s="7" t="s">
        <v>189</v>
      </c>
    </row>
    <row r="948" spans="2:2" x14ac:dyDescent="0.2">
      <c r="B948" s="7" t="s">
        <v>484</v>
      </c>
    </row>
    <row r="949" spans="2:2" x14ac:dyDescent="0.2">
      <c r="B949" s="7" t="s">
        <v>106</v>
      </c>
    </row>
    <row r="950" spans="2:2" x14ac:dyDescent="0.2">
      <c r="B950" s="7" t="s">
        <v>16</v>
      </c>
    </row>
    <row r="951" spans="2:2" x14ac:dyDescent="0.2">
      <c r="B951" s="7" t="s">
        <v>214</v>
      </c>
    </row>
    <row r="952" spans="2:2" x14ac:dyDescent="0.2">
      <c r="B952" s="7" t="s">
        <v>513</v>
      </c>
    </row>
    <row r="953" spans="2:2" x14ac:dyDescent="0.2">
      <c r="B953" s="7" t="s">
        <v>242</v>
      </c>
    </row>
    <row r="954" spans="2:2" x14ac:dyDescent="0.2">
      <c r="B954" s="7" t="s">
        <v>218</v>
      </c>
    </row>
    <row r="955" spans="2:2" x14ac:dyDescent="0.2">
      <c r="B955" s="7" t="s">
        <v>466</v>
      </c>
    </row>
    <row r="956" spans="2:2" x14ac:dyDescent="0.2">
      <c r="B956" s="7" t="s">
        <v>303</v>
      </c>
    </row>
    <row r="957" spans="2:2" x14ac:dyDescent="0.2">
      <c r="B957" s="7" t="s">
        <v>107</v>
      </c>
    </row>
    <row r="958" spans="2:2" x14ac:dyDescent="0.2">
      <c r="B958" s="7" t="s">
        <v>542</v>
      </c>
    </row>
    <row r="959" spans="2:2" x14ac:dyDescent="0.2">
      <c r="B959" s="7" t="s">
        <v>255</v>
      </c>
    </row>
    <row r="960" spans="2:2" x14ac:dyDescent="0.2">
      <c r="B960" s="7" t="s">
        <v>313</v>
      </c>
    </row>
    <row r="961" spans="2:2" x14ac:dyDescent="0.2">
      <c r="B961" s="7" t="s">
        <v>221</v>
      </c>
    </row>
    <row r="962" spans="2:2" x14ac:dyDescent="0.2">
      <c r="B962" s="7" t="s">
        <v>222</v>
      </c>
    </row>
    <row r="963" spans="2:2" x14ac:dyDescent="0.2">
      <c r="B963" s="7" t="s">
        <v>351</v>
      </c>
    </row>
    <row r="964" spans="2:2" x14ac:dyDescent="0.2">
      <c r="B964" s="7" t="s">
        <v>417</v>
      </c>
    </row>
    <row r="965" spans="2:2" x14ac:dyDescent="0.2">
      <c r="B965" s="7" t="s">
        <v>419</v>
      </c>
    </row>
    <row r="966" spans="2:2" x14ac:dyDescent="0.2">
      <c r="B966" s="7" t="s">
        <v>341</v>
      </c>
    </row>
    <row r="967" spans="2:2" x14ac:dyDescent="0.2">
      <c r="B967" s="7" t="s">
        <v>337</v>
      </c>
    </row>
    <row r="968" spans="2:2" x14ac:dyDescent="0.2">
      <c r="B968" s="7" t="s">
        <v>154</v>
      </c>
    </row>
    <row r="969" spans="2:2" x14ac:dyDescent="0.2">
      <c r="B969" s="7" t="s">
        <v>471</v>
      </c>
    </row>
    <row r="970" spans="2:2" x14ac:dyDescent="0.2">
      <c r="B970" s="7" t="s">
        <v>262</v>
      </c>
    </row>
    <row r="971" spans="2:2" x14ac:dyDescent="0.2">
      <c r="B971" s="7" t="s">
        <v>78</v>
      </c>
    </row>
    <row r="972" spans="2:2" x14ac:dyDescent="0.2">
      <c r="B972" s="7" t="s">
        <v>344</v>
      </c>
    </row>
    <row r="973" spans="2:2" x14ac:dyDescent="0.2">
      <c r="B973" s="7" t="s">
        <v>83</v>
      </c>
    </row>
    <row r="974" spans="2:2" x14ac:dyDescent="0.2">
      <c r="B974" s="7" t="s">
        <v>86</v>
      </c>
    </row>
    <row r="975" spans="2:2" x14ac:dyDescent="0.2">
      <c r="B975" s="7" t="s">
        <v>87</v>
      </c>
    </row>
    <row r="976" spans="2:2" x14ac:dyDescent="0.2">
      <c r="B976" s="7" t="s">
        <v>88</v>
      </c>
    </row>
    <row r="977" spans="2:2" x14ac:dyDescent="0.2">
      <c r="B977" s="7" t="s">
        <v>89</v>
      </c>
    </row>
    <row r="978" spans="2:2" x14ac:dyDescent="0.2">
      <c r="B978" s="7" t="s">
        <v>160</v>
      </c>
    </row>
    <row r="979" spans="2:2" x14ac:dyDescent="0.2">
      <c r="B979" s="7" t="s">
        <v>92</v>
      </c>
    </row>
    <row r="980" spans="2:2" x14ac:dyDescent="0.2">
      <c r="B980" s="7" t="s">
        <v>118</v>
      </c>
    </row>
    <row r="981" spans="2:2" x14ac:dyDescent="0.2">
      <c r="B981" s="7" t="s">
        <v>660</v>
      </c>
    </row>
    <row r="982" spans="2:2" x14ac:dyDescent="0.2">
      <c r="B982" s="7" t="s">
        <v>245</v>
      </c>
    </row>
    <row r="983" spans="2:2" x14ac:dyDescent="0.2">
      <c r="B983" s="7" t="s">
        <v>163</v>
      </c>
    </row>
    <row r="984" spans="2:2" x14ac:dyDescent="0.2">
      <c r="B984" s="7" t="s">
        <v>331</v>
      </c>
    </row>
    <row r="985" spans="2:2" x14ac:dyDescent="0.2">
      <c r="B985" s="7" t="s">
        <v>669</v>
      </c>
    </row>
    <row r="986" spans="2:2" x14ac:dyDescent="0.2">
      <c r="B986" s="7" t="s">
        <v>649</v>
      </c>
    </row>
    <row r="987" spans="2:2" x14ac:dyDescent="0.2">
      <c r="B987" s="7" t="s">
        <v>230</v>
      </c>
    </row>
    <row r="988" spans="2:2" x14ac:dyDescent="0.2">
      <c r="B988" s="7" t="s">
        <v>119</v>
      </c>
    </row>
    <row r="989" spans="2:2" x14ac:dyDescent="0.2">
      <c r="B989" s="7" t="s">
        <v>102</v>
      </c>
    </row>
    <row r="990" spans="2:2" x14ac:dyDescent="0.2">
      <c r="B990" s="7" t="s">
        <v>182</v>
      </c>
    </row>
    <row r="991" spans="2:2" x14ac:dyDescent="0.2">
      <c r="B991" s="7" t="s">
        <v>131</v>
      </c>
    </row>
    <row r="992" spans="2:2" x14ac:dyDescent="0.2">
      <c r="B992" s="7" t="s">
        <v>122</v>
      </c>
    </row>
    <row r="993" spans="1:2" x14ac:dyDescent="0.2">
      <c r="A993" s="7" t="s">
        <v>644</v>
      </c>
      <c r="B993" s="7" t="s">
        <v>466</v>
      </c>
    </row>
    <row r="994" spans="1:2" x14ac:dyDescent="0.2">
      <c r="A994" s="7" t="s">
        <v>673</v>
      </c>
      <c r="B994" s="7" t="s">
        <v>183</v>
      </c>
    </row>
    <row r="995" spans="1:2" x14ac:dyDescent="0.2">
      <c r="B995" s="7" t="s">
        <v>103</v>
      </c>
    </row>
    <row r="996" spans="1:2" x14ac:dyDescent="0.2">
      <c r="B996" s="7" t="s">
        <v>532</v>
      </c>
    </row>
    <row r="997" spans="1:2" x14ac:dyDescent="0.2">
      <c r="B997" s="7" t="s">
        <v>621</v>
      </c>
    </row>
    <row r="998" spans="1:2" x14ac:dyDescent="0.2">
      <c r="B998" s="7" t="s">
        <v>218</v>
      </c>
    </row>
    <row r="999" spans="1:2" x14ac:dyDescent="0.2">
      <c r="B999" s="7" t="s">
        <v>172</v>
      </c>
    </row>
    <row r="1000" spans="1:2" x14ac:dyDescent="0.2">
      <c r="B1000" s="7" t="s">
        <v>141</v>
      </c>
    </row>
    <row r="1001" spans="1:2" x14ac:dyDescent="0.2">
      <c r="B1001" s="7" t="s">
        <v>199</v>
      </c>
    </row>
    <row r="1002" spans="1:2" x14ac:dyDescent="0.2">
      <c r="B1002" s="7" t="s">
        <v>174</v>
      </c>
    </row>
    <row r="1003" spans="1:2" x14ac:dyDescent="0.2">
      <c r="B1003" s="7" t="s">
        <v>521</v>
      </c>
    </row>
    <row r="1004" spans="1:2" x14ac:dyDescent="0.2">
      <c r="B1004" s="7" t="s">
        <v>259</v>
      </c>
    </row>
    <row r="1005" spans="1:2" x14ac:dyDescent="0.2">
      <c r="B1005" s="7" t="s">
        <v>263</v>
      </c>
    </row>
    <row r="1006" spans="1:2" x14ac:dyDescent="0.2">
      <c r="B1006" s="7" t="s">
        <v>400</v>
      </c>
    </row>
    <row r="1007" spans="1:2" x14ac:dyDescent="0.2">
      <c r="B1007" s="7" t="s">
        <v>202</v>
      </c>
    </row>
    <row r="1008" spans="1:2" x14ac:dyDescent="0.2">
      <c r="B1008" s="7" t="s">
        <v>118</v>
      </c>
    </row>
    <row r="1009" spans="1:2" x14ac:dyDescent="0.2">
      <c r="B1009" s="7" t="s">
        <v>384</v>
      </c>
    </row>
    <row r="1010" spans="1:2" x14ac:dyDescent="0.2">
      <c r="A1010" s="7" t="s">
        <v>348</v>
      </c>
      <c r="B1010" s="7" t="s">
        <v>187</v>
      </c>
    </row>
    <row r="1011" spans="1:2" x14ac:dyDescent="0.2">
      <c r="B1011" s="7" t="s">
        <v>127</v>
      </c>
    </row>
    <row r="1012" spans="1:2" x14ac:dyDescent="0.2">
      <c r="B1012" s="7" t="s">
        <v>349</v>
      </c>
    </row>
    <row r="1013" spans="1:2" x14ac:dyDescent="0.2">
      <c r="B1013" s="7" t="s">
        <v>135</v>
      </c>
    </row>
    <row r="1014" spans="1:2" x14ac:dyDescent="0.2">
      <c r="B1014" s="7" t="s">
        <v>142</v>
      </c>
    </row>
    <row r="1015" spans="1:2" x14ac:dyDescent="0.2">
      <c r="B1015" s="7" t="s">
        <v>301</v>
      </c>
    </row>
    <row r="1016" spans="1:2" x14ac:dyDescent="0.2">
      <c r="B1016" s="7" t="s">
        <v>350</v>
      </c>
    </row>
    <row r="1017" spans="1:2" x14ac:dyDescent="0.2">
      <c r="B1017" s="7" t="s">
        <v>251</v>
      </c>
    </row>
    <row r="1018" spans="1:2" x14ac:dyDescent="0.2">
      <c r="B1018" s="7" t="s">
        <v>305</v>
      </c>
    </row>
    <row r="1019" spans="1:2" x14ac:dyDescent="0.2">
      <c r="B1019" s="7" t="s">
        <v>38</v>
      </c>
    </row>
    <row r="1020" spans="1:2" x14ac:dyDescent="0.2">
      <c r="B1020" s="7" t="s">
        <v>197</v>
      </c>
    </row>
    <row r="1021" spans="1:2" x14ac:dyDescent="0.2">
      <c r="B1021" s="7" t="s">
        <v>46</v>
      </c>
    </row>
    <row r="1022" spans="1:2" x14ac:dyDescent="0.2">
      <c r="B1022" s="7" t="s">
        <v>149</v>
      </c>
    </row>
    <row r="1023" spans="1:2" x14ac:dyDescent="0.2">
      <c r="B1023" s="7" t="s">
        <v>351</v>
      </c>
    </row>
    <row r="1024" spans="1:2" x14ac:dyDescent="0.2">
      <c r="B1024" s="7" t="s">
        <v>223</v>
      </c>
    </row>
    <row r="1025" spans="1:2" x14ac:dyDescent="0.2">
      <c r="B1025" s="7" t="s">
        <v>353</v>
      </c>
    </row>
    <row r="1026" spans="1:2" x14ac:dyDescent="0.2">
      <c r="B1026" s="7" t="s">
        <v>72</v>
      </c>
    </row>
    <row r="1027" spans="1:2" x14ac:dyDescent="0.2">
      <c r="B1027" s="7" t="s">
        <v>225</v>
      </c>
    </row>
    <row r="1028" spans="1:2" x14ac:dyDescent="0.2">
      <c r="B1028" s="7" t="s">
        <v>161</v>
      </c>
    </row>
    <row r="1029" spans="1:2" x14ac:dyDescent="0.2">
      <c r="B1029" s="7" t="s">
        <v>355</v>
      </c>
    </row>
    <row r="1030" spans="1:2" x14ac:dyDescent="0.2">
      <c r="B1030" s="7" t="s">
        <v>277</v>
      </c>
    </row>
    <row r="1031" spans="1:2" x14ac:dyDescent="0.2">
      <c r="B1031" s="7" t="s">
        <v>230</v>
      </c>
    </row>
    <row r="1032" spans="1:2" x14ac:dyDescent="0.2">
      <c r="A1032" s="7" t="s">
        <v>437</v>
      </c>
      <c r="B1032" s="7" t="s">
        <v>251</v>
      </c>
    </row>
    <row r="1033" spans="1:2" x14ac:dyDescent="0.2">
      <c r="B1033" s="7" t="s">
        <v>362</v>
      </c>
    </row>
    <row r="1034" spans="1:2" x14ac:dyDescent="0.2">
      <c r="B1034" s="7" t="s">
        <v>363</v>
      </c>
    </row>
    <row r="1035" spans="1:2" x14ac:dyDescent="0.2">
      <c r="B1035" s="7" t="s">
        <v>116</v>
      </c>
    </row>
    <row r="1036" spans="1:2" x14ac:dyDescent="0.2">
      <c r="A1036" s="7" t="s">
        <v>677</v>
      </c>
      <c r="B1036" s="7" t="s">
        <v>245</v>
      </c>
    </row>
    <row r="1037" spans="1:2" x14ac:dyDescent="0.2">
      <c r="A1037" s="7" t="s">
        <v>557</v>
      </c>
      <c r="B1037" s="7" t="s">
        <v>410</v>
      </c>
    </row>
    <row r="1038" spans="1:2" x14ac:dyDescent="0.2">
      <c r="B1038" s="7" t="s">
        <v>287</v>
      </c>
    </row>
    <row r="1039" spans="1:2" x14ac:dyDescent="0.2">
      <c r="B1039" s="7" t="s">
        <v>292</v>
      </c>
    </row>
    <row r="1040" spans="1:2" x14ac:dyDescent="0.2">
      <c r="B1040" s="7" t="s">
        <v>293</v>
      </c>
    </row>
    <row r="1041" spans="1:2" x14ac:dyDescent="0.2">
      <c r="B1041" s="7" t="s">
        <v>294</v>
      </c>
    </row>
    <row r="1042" spans="1:2" x14ac:dyDescent="0.2">
      <c r="B1042" s="7" t="s">
        <v>138</v>
      </c>
    </row>
    <row r="1043" spans="1:2" x14ac:dyDescent="0.2">
      <c r="B1043" s="7" t="s">
        <v>25</v>
      </c>
    </row>
    <row r="1044" spans="1:2" x14ac:dyDescent="0.2">
      <c r="B1044" s="7" t="s">
        <v>243</v>
      </c>
    </row>
    <row r="1045" spans="1:2" x14ac:dyDescent="0.2">
      <c r="B1045" s="7" t="s">
        <v>31</v>
      </c>
    </row>
    <row r="1046" spans="1:2" x14ac:dyDescent="0.2">
      <c r="B1046" s="7" t="s">
        <v>564</v>
      </c>
    </row>
    <row r="1047" spans="1:2" x14ac:dyDescent="0.2">
      <c r="B1047" s="7" t="s">
        <v>313</v>
      </c>
    </row>
    <row r="1048" spans="1:2" x14ac:dyDescent="0.2">
      <c r="B1048" s="7" t="s">
        <v>318</v>
      </c>
    </row>
    <row r="1049" spans="1:2" x14ac:dyDescent="0.2">
      <c r="B1049" s="7" t="s">
        <v>269</v>
      </c>
    </row>
    <row r="1050" spans="1:2" x14ac:dyDescent="0.2">
      <c r="B1050" s="7" t="s">
        <v>102</v>
      </c>
    </row>
    <row r="1051" spans="1:2" x14ac:dyDescent="0.2">
      <c r="A1051" s="7" t="s">
        <v>566</v>
      </c>
      <c r="B1051" s="7" t="s">
        <v>233</v>
      </c>
    </row>
    <row r="1052" spans="1:2" x14ac:dyDescent="0.2">
      <c r="B1052" s="7" t="s">
        <v>8</v>
      </c>
    </row>
    <row r="1053" spans="1:2" x14ac:dyDescent="0.2">
      <c r="B1053" s="7" t="s">
        <v>124</v>
      </c>
    </row>
    <row r="1054" spans="1:2" x14ac:dyDescent="0.2">
      <c r="B1054" s="7" t="s">
        <v>283</v>
      </c>
    </row>
    <row r="1055" spans="1:2" x14ac:dyDescent="0.2">
      <c r="B1055" s="7" t="s">
        <v>11</v>
      </c>
    </row>
    <row r="1056" spans="1:2" x14ac:dyDescent="0.2">
      <c r="B1056" s="7" t="s">
        <v>284</v>
      </c>
    </row>
    <row r="1057" spans="2:2" x14ac:dyDescent="0.2">
      <c r="B1057" s="7" t="s">
        <v>285</v>
      </c>
    </row>
    <row r="1058" spans="2:2" x14ac:dyDescent="0.2">
      <c r="B1058" s="7" t="s">
        <v>12</v>
      </c>
    </row>
    <row r="1059" spans="2:2" x14ac:dyDescent="0.2">
      <c r="B1059" s="7" t="s">
        <v>484</v>
      </c>
    </row>
    <row r="1060" spans="2:2" x14ac:dyDescent="0.2">
      <c r="B1060" s="7" t="s">
        <v>289</v>
      </c>
    </row>
    <row r="1061" spans="2:2" x14ac:dyDescent="0.2">
      <c r="B1061" s="7" t="s">
        <v>291</v>
      </c>
    </row>
    <row r="1062" spans="2:2" x14ac:dyDescent="0.2">
      <c r="B1062" s="7" t="s">
        <v>292</v>
      </c>
    </row>
    <row r="1063" spans="2:2" x14ac:dyDescent="0.2">
      <c r="B1063" s="7" t="s">
        <v>294</v>
      </c>
    </row>
    <row r="1064" spans="2:2" x14ac:dyDescent="0.2">
      <c r="B1064" s="7" t="s">
        <v>295</v>
      </c>
    </row>
    <row r="1065" spans="2:2" x14ac:dyDescent="0.2">
      <c r="B1065" s="7" t="s">
        <v>138</v>
      </c>
    </row>
    <row r="1066" spans="2:2" x14ac:dyDescent="0.2">
      <c r="B1066" s="7" t="s">
        <v>297</v>
      </c>
    </row>
    <row r="1067" spans="2:2" x14ac:dyDescent="0.2">
      <c r="B1067" s="7" t="s">
        <v>298</v>
      </c>
    </row>
    <row r="1068" spans="2:2" x14ac:dyDescent="0.2">
      <c r="B1068" s="7" t="s">
        <v>249</v>
      </c>
    </row>
    <row r="1069" spans="2:2" x14ac:dyDescent="0.2">
      <c r="B1069" s="7" t="s">
        <v>113</v>
      </c>
    </row>
    <row r="1070" spans="2:2" x14ac:dyDescent="0.2">
      <c r="B1070" s="7" t="s">
        <v>301</v>
      </c>
    </row>
    <row r="1071" spans="2:2" x14ac:dyDescent="0.2">
      <c r="B1071" s="7" t="s">
        <v>302</v>
      </c>
    </row>
    <row r="1072" spans="2:2" x14ac:dyDescent="0.2">
      <c r="B1072" s="7" t="s">
        <v>253</v>
      </c>
    </row>
    <row r="1073" spans="2:2" x14ac:dyDescent="0.2">
      <c r="B1073" s="7" t="s">
        <v>194</v>
      </c>
    </row>
    <row r="1074" spans="2:2" x14ac:dyDescent="0.2">
      <c r="B1074" s="7" t="s">
        <v>254</v>
      </c>
    </row>
    <row r="1075" spans="2:2" x14ac:dyDescent="0.2">
      <c r="B1075" s="7" t="s">
        <v>41</v>
      </c>
    </row>
    <row r="1076" spans="2:2" x14ac:dyDescent="0.2">
      <c r="B1076" s="7" t="s">
        <v>310</v>
      </c>
    </row>
    <row r="1077" spans="2:2" x14ac:dyDescent="0.2">
      <c r="B1077" s="7" t="s">
        <v>311</v>
      </c>
    </row>
    <row r="1078" spans="2:2" x14ac:dyDescent="0.2">
      <c r="B1078" s="7" t="s">
        <v>313</v>
      </c>
    </row>
    <row r="1079" spans="2:2" x14ac:dyDescent="0.2">
      <c r="B1079" s="7" t="s">
        <v>314</v>
      </c>
    </row>
    <row r="1080" spans="2:2" x14ac:dyDescent="0.2">
      <c r="B1080" s="7" t="s">
        <v>200</v>
      </c>
    </row>
    <row r="1081" spans="2:2" x14ac:dyDescent="0.2">
      <c r="B1081" s="7" t="s">
        <v>316</v>
      </c>
    </row>
    <row r="1082" spans="2:2" x14ac:dyDescent="0.2">
      <c r="B1082" s="7" t="s">
        <v>317</v>
      </c>
    </row>
    <row r="1083" spans="2:2" x14ac:dyDescent="0.2">
      <c r="B1083" s="7" t="s">
        <v>318</v>
      </c>
    </row>
    <row r="1084" spans="2:2" x14ac:dyDescent="0.2">
      <c r="B1084" s="7" t="s">
        <v>320</v>
      </c>
    </row>
    <row r="1085" spans="2:2" x14ac:dyDescent="0.2">
      <c r="B1085" s="7" t="s">
        <v>64</v>
      </c>
    </row>
    <row r="1086" spans="2:2" x14ac:dyDescent="0.2">
      <c r="B1086" s="7" t="s">
        <v>321</v>
      </c>
    </row>
    <row r="1087" spans="2:2" x14ac:dyDescent="0.2">
      <c r="B1087" s="7" t="s">
        <v>323</v>
      </c>
    </row>
    <row r="1088" spans="2:2" x14ac:dyDescent="0.2">
      <c r="B1088" s="7" t="s">
        <v>225</v>
      </c>
    </row>
    <row r="1089" spans="2:2" x14ac:dyDescent="0.2">
      <c r="B1089" s="7" t="s">
        <v>266</v>
      </c>
    </row>
    <row r="1090" spans="2:2" x14ac:dyDescent="0.2">
      <c r="B1090" s="7" t="s">
        <v>391</v>
      </c>
    </row>
    <row r="1091" spans="2:2" x14ac:dyDescent="0.2">
      <c r="B1091" s="7" t="s">
        <v>86</v>
      </c>
    </row>
    <row r="1092" spans="2:2" x14ac:dyDescent="0.2">
      <c r="B1092" s="7" t="s">
        <v>88</v>
      </c>
    </row>
    <row r="1093" spans="2:2" x14ac:dyDescent="0.2">
      <c r="B1093" s="7" t="s">
        <v>269</v>
      </c>
    </row>
    <row r="1094" spans="2:2" x14ac:dyDescent="0.2">
      <c r="B1094" s="7" t="s">
        <v>326</v>
      </c>
    </row>
    <row r="1095" spans="2:2" x14ac:dyDescent="0.2">
      <c r="B1095" s="7" t="s">
        <v>327</v>
      </c>
    </row>
    <row r="1096" spans="2:2" x14ac:dyDescent="0.2">
      <c r="B1096" s="7" t="s">
        <v>97</v>
      </c>
    </row>
    <row r="1097" spans="2:2" x14ac:dyDescent="0.2">
      <c r="B1097" s="7" t="s">
        <v>328</v>
      </c>
    </row>
    <row r="1098" spans="2:2" x14ac:dyDescent="0.2">
      <c r="B1098" s="7" t="s">
        <v>330</v>
      </c>
    </row>
    <row r="1099" spans="2:2" x14ac:dyDescent="0.2">
      <c r="B1099" s="7" t="s">
        <v>208</v>
      </c>
    </row>
    <row r="1100" spans="2:2" x14ac:dyDescent="0.2">
      <c r="B1100" s="7" t="s">
        <v>277</v>
      </c>
    </row>
    <row r="1101" spans="2:2" x14ac:dyDescent="0.2">
      <c r="B1101" s="7" t="s">
        <v>595</v>
      </c>
    </row>
    <row r="1102" spans="2:2" x14ac:dyDescent="0.2">
      <c r="B1102" s="7" t="s">
        <v>145</v>
      </c>
    </row>
    <row r="1103" spans="2:2" x14ac:dyDescent="0.2">
      <c r="B1103" s="7" t="s">
        <v>276</v>
      </c>
    </row>
    <row r="1104" spans="2:2" x14ac:dyDescent="0.2">
      <c r="B1104" s="7" t="s">
        <v>102</v>
      </c>
    </row>
    <row r="1105" spans="1:2" x14ac:dyDescent="0.2">
      <c r="A1105" s="7" t="s">
        <v>387</v>
      </c>
      <c r="B1105" s="7" t="s">
        <v>205</v>
      </c>
    </row>
    <row r="1106" spans="1:2" x14ac:dyDescent="0.2">
      <c r="B1106" s="7" t="s">
        <v>124</v>
      </c>
    </row>
    <row r="1107" spans="1:2" x14ac:dyDescent="0.2">
      <c r="B1107" s="7" t="s">
        <v>281</v>
      </c>
    </row>
    <row r="1108" spans="1:2" x14ac:dyDescent="0.2">
      <c r="B1108" s="7" t="s">
        <v>13</v>
      </c>
    </row>
    <row r="1109" spans="1:2" x14ac:dyDescent="0.2">
      <c r="B1109" s="7" t="s">
        <v>388</v>
      </c>
    </row>
    <row r="1110" spans="1:2" x14ac:dyDescent="0.2">
      <c r="B1110" s="7" t="s">
        <v>239</v>
      </c>
    </row>
    <row r="1111" spans="1:2" x14ac:dyDescent="0.2">
      <c r="B1111" s="7" t="s">
        <v>389</v>
      </c>
    </row>
    <row r="1112" spans="1:2" x14ac:dyDescent="0.2">
      <c r="B1112" s="7" t="s">
        <v>218</v>
      </c>
    </row>
    <row r="1113" spans="1:2" x14ac:dyDescent="0.2">
      <c r="B1113" s="7" t="s">
        <v>139</v>
      </c>
    </row>
    <row r="1114" spans="1:2" x14ac:dyDescent="0.2">
      <c r="B1114" s="7" t="s">
        <v>217</v>
      </c>
    </row>
    <row r="1115" spans="1:2" x14ac:dyDescent="0.2">
      <c r="B1115" s="7" t="s">
        <v>302</v>
      </c>
    </row>
    <row r="1116" spans="1:2" x14ac:dyDescent="0.2">
      <c r="B1116" s="7" t="s">
        <v>350</v>
      </c>
    </row>
    <row r="1117" spans="1:2" x14ac:dyDescent="0.2">
      <c r="B1117" s="7" t="s">
        <v>305</v>
      </c>
    </row>
    <row r="1118" spans="1:2" x14ac:dyDescent="0.2">
      <c r="B1118" s="7" t="s">
        <v>221</v>
      </c>
    </row>
    <row r="1119" spans="1:2" x14ac:dyDescent="0.2">
      <c r="B1119" s="7" t="s">
        <v>177</v>
      </c>
    </row>
    <row r="1120" spans="1:2" x14ac:dyDescent="0.2">
      <c r="B1120" s="7" t="s">
        <v>337</v>
      </c>
    </row>
    <row r="1121" spans="1:2" x14ac:dyDescent="0.2">
      <c r="B1121" s="7" t="s">
        <v>318</v>
      </c>
    </row>
    <row r="1122" spans="1:2" x14ac:dyDescent="0.2">
      <c r="B1122" s="7" t="s">
        <v>111</v>
      </c>
    </row>
    <row r="1123" spans="1:2" x14ac:dyDescent="0.2">
      <c r="B1123" s="7" t="s">
        <v>390</v>
      </c>
    </row>
    <row r="1124" spans="1:2" x14ac:dyDescent="0.2">
      <c r="B1124" s="7" t="s">
        <v>67</v>
      </c>
    </row>
    <row r="1125" spans="1:2" x14ac:dyDescent="0.2">
      <c r="B1125" s="7" t="s">
        <v>72</v>
      </c>
    </row>
    <row r="1126" spans="1:2" x14ac:dyDescent="0.2">
      <c r="B1126" s="7" t="s">
        <v>265</v>
      </c>
    </row>
    <row r="1127" spans="1:2" x14ac:dyDescent="0.2">
      <c r="B1127" s="7" t="s">
        <v>391</v>
      </c>
    </row>
    <row r="1128" spans="1:2" x14ac:dyDescent="0.2">
      <c r="B1128" s="7" t="s">
        <v>94</v>
      </c>
    </row>
    <row r="1129" spans="1:2" x14ac:dyDescent="0.2">
      <c r="B1129" s="7" t="s">
        <v>327</v>
      </c>
    </row>
    <row r="1130" spans="1:2" x14ac:dyDescent="0.2">
      <c r="B1130" s="7" t="s">
        <v>162</v>
      </c>
    </row>
    <row r="1131" spans="1:2" x14ac:dyDescent="0.2">
      <c r="B1131" s="7" t="s">
        <v>376</v>
      </c>
    </row>
    <row r="1132" spans="1:2" x14ac:dyDescent="0.2">
      <c r="A1132" s="7" t="s">
        <v>678</v>
      </c>
      <c r="B1132" s="7" t="s">
        <v>302</v>
      </c>
    </row>
    <row r="1133" spans="1:2" x14ac:dyDescent="0.2">
      <c r="B1133" s="7" t="s">
        <v>253</v>
      </c>
    </row>
    <row r="1134" spans="1:2" x14ac:dyDescent="0.2">
      <c r="B1134" s="7" t="s">
        <v>221</v>
      </c>
    </row>
    <row r="1135" spans="1:2" x14ac:dyDescent="0.2">
      <c r="B1135" s="7" t="s">
        <v>355</v>
      </c>
    </row>
    <row r="1136" spans="1:2" x14ac:dyDescent="0.2">
      <c r="B1136" s="7" t="s">
        <v>368</v>
      </c>
    </row>
    <row r="1137" spans="1:2" x14ac:dyDescent="0.2">
      <c r="B1137" s="7" t="s">
        <v>539</v>
      </c>
    </row>
    <row r="1138" spans="1:2" x14ac:dyDescent="0.2">
      <c r="A1138" s="7" t="s">
        <v>679</v>
      </c>
      <c r="B1138" s="7" t="s">
        <v>207</v>
      </c>
    </row>
    <row r="1139" spans="1:2" x14ac:dyDescent="0.2">
      <c r="B1139" s="7" t="s">
        <v>236</v>
      </c>
    </row>
    <row r="1140" spans="1:2" x14ac:dyDescent="0.2">
      <c r="B1140" s="7" t="s">
        <v>210</v>
      </c>
    </row>
    <row r="1141" spans="1:2" x14ac:dyDescent="0.2">
      <c r="B1141" s="7" t="s">
        <v>388</v>
      </c>
    </row>
    <row r="1142" spans="1:2" x14ac:dyDescent="0.2">
      <c r="B1142" s="7" t="s">
        <v>239</v>
      </c>
    </row>
    <row r="1143" spans="1:2" x14ac:dyDescent="0.2">
      <c r="B1143" s="7" t="s">
        <v>20</v>
      </c>
    </row>
    <row r="1144" spans="1:2" x14ac:dyDescent="0.2">
      <c r="B1144" s="7" t="s">
        <v>389</v>
      </c>
    </row>
    <row r="1145" spans="1:2" x14ac:dyDescent="0.2">
      <c r="B1145" s="7" t="s">
        <v>244</v>
      </c>
    </row>
    <row r="1146" spans="1:2" x14ac:dyDescent="0.2">
      <c r="B1146" s="7" t="s">
        <v>302</v>
      </c>
    </row>
    <row r="1147" spans="1:2" x14ac:dyDescent="0.2">
      <c r="B1147" s="7" t="s">
        <v>250</v>
      </c>
    </row>
    <row r="1148" spans="1:2" x14ac:dyDescent="0.2">
      <c r="B1148" s="7" t="s">
        <v>251</v>
      </c>
    </row>
    <row r="1149" spans="1:2" x14ac:dyDescent="0.2">
      <c r="B1149" s="7" t="s">
        <v>451</v>
      </c>
    </row>
    <row r="1150" spans="1:2" x14ac:dyDescent="0.2">
      <c r="B1150" s="7" t="s">
        <v>362</v>
      </c>
    </row>
    <row r="1151" spans="1:2" x14ac:dyDescent="0.2">
      <c r="B1151" s="7" t="s">
        <v>305</v>
      </c>
    </row>
    <row r="1152" spans="1:2" x14ac:dyDescent="0.2">
      <c r="B1152" s="7" t="s">
        <v>199</v>
      </c>
    </row>
    <row r="1153" spans="1:2" x14ac:dyDescent="0.2">
      <c r="B1153" s="7" t="s">
        <v>260</v>
      </c>
    </row>
    <row r="1154" spans="1:2" x14ac:dyDescent="0.2">
      <c r="B1154" s="7" t="s">
        <v>318</v>
      </c>
    </row>
    <row r="1155" spans="1:2" x14ac:dyDescent="0.2">
      <c r="B1155" s="7" t="s">
        <v>224</v>
      </c>
    </row>
    <row r="1156" spans="1:2" x14ac:dyDescent="0.2">
      <c r="B1156" s="7" t="s">
        <v>59</v>
      </c>
    </row>
    <row r="1157" spans="1:2" x14ac:dyDescent="0.2">
      <c r="B1157" s="7" t="s">
        <v>400</v>
      </c>
    </row>
    <row r="1158" spans="1:2" x14ac:dyDescent="0.2">
      <c r="A1158" s="7" t="s">
        <v>357</v>
      </c>
      <c r="B1158" s="7" t="s">
        <v>103</v>
      </c>
    </row>
    <row r="1159" spans="1:2" x14ac:dyDescent="0.2">
      <c r="B1159" s="7" t="s">
        <v>359</v>
      </c>
    </row>
    <row r="1160" spans="1:2" x14ac:dyDescent="0.2">
      <c r="B1160" s="7" t="s">
        <v>187</v>
      </c>
    </row>
    <row r="1161" spans="1:2" x14ac:dyDescent="0.2">
      <c r="B1161" s="7" t="s">
        <v>258</v>
      </c>
    </row>
    <row r="1162" spans="1:2" x14ac:dyDescent="0.2">
      <c r="B1162" s="7" t="s">
        <v>11</v>
      </c>
    </row>
    <row r="1163" spans="1:2" x14ac:dyDescent="0.2">
      <c r="B1163" s="7" t="s">
        <v>164</v>
      </c>
    </row>
    <row r="1164" spans="1:2" x14ac:dyDescent="0.2">
      <c r="B1164" s="7" t="s">
        <v>135</v>
      </c>
    </row>
    <row r="1165" spans="1:2" x14ac:dyDescent="0.2">
      <c r="B1165" s="7" t="s">
        <v>193</v>
      </c>
    </row>
    <row r="1166" spans="1:2" x14ac:dyDescent="0.2">
      <c r="B1166" s="7" t="s">
        <v>251</v>
      </c>
    </row>
    <row r="1167" spans="1:2" x14ac:dyDescent="0.2">
      <c r="B1167" s="7" t="s">
        <v>194</v>
      </c>
    </row>
    <row r="1168" spans="1:2" x14ac:dyDescent="0.2">
      <c r="B1168" s="7" t="s">
        <v>195</v>
      </c>
    </row>
    <row r="1169" spans="1:2" x14ac:dyDescent="0.2">
      <c r="B1169" s="7" t="s">
        <v>362</v>
      </c>
    </row>
    <row r="1170" spans="1:2" x14ac:dyDescent="0.2">
      <c r="B1170" s="7" t="s">
        <v>363</v>
      </c>
    </row>
    <row r="1171" spans="1:2" x14ac:dyDescent="0.2">
      <c r="B1171" s="7" t="s">
        <v>364</v>
      </c>
    </row>
    <row r="1172" spans="1:2" x14ac:dyDescent="0.2">
      <c r="B1172" s="7" t="s">
        <v>178</v>
      </c>
    </row>
    <row r="1173" spans="1:2" x14ac:dyDescent="0.2">
      <c r="B1173" s="7" t="s">
        <v>366</v>
      </c>
    </row>
    <row r="1174" spans="1:2" x14ac:dyDescent="0.2">
      <c r="B1174" s="7" t="s">
        <v>150</v>
      </c>
    </row>
    <row r="1175" spans="1:2" x14ac:dyDescent="0.2">
      <c r="B1175" s="7" t="s">
        <v>367</v>
      </c>
    </row>
    <row r="1176" spans="1:2" x14ac:dyDescent="0.2">
      <c r="B1176" s="7" t="s">
        <v>158</v>
      </c>
    </row>
    <row r="1177" spans="1:2" x14ac:dyDescent="0.2">
      <c r="B1177" s="7" t="s">
        <v>116</v>
      </c>
    </row>
    <row r="1178" spans="1:2" x14ac:dyDescent="0.2">
      <c r="B1178" s="7" t="s">
        <v>90</v>
      </c>
    </row>
    <row r="1179" spans="1:2" x14ac:dyDescent="0.2">
      <c r="B1179" s="7" t="s">
        <v>368</v>
      </c>
    </row>
    <row r="1180" spans="1:2" x14ac:dyDescent="0.2">
      <c r="B1180" s="7" t="s">
        <v>331</v>
      </c>
    </row>
    <row r="1181" spans="1:2" x14ac:dyDescent="0.2">
      <c r="B1181" s="7" t="s">
        <v>370</v>
      </c>
    </row>
    <row r="1182" spans="1:2" x14ac:dyDescent="0.2">
      <c r="B1182" s="7" t="s">
        <v>131</v>
      </c>
    </row>
    <row r="1183" spans="1:2" x14ac:dyDescent="0.2">
      <c r="A1183" s="7" t="s">
        <v>392</v>
      </c>
      <c r="B1183" s="7" t="s">
        <v>103</v>
      </c>
    </row>
    <row r="1184" spans="1:2" x14ac:dyDescent="0.2">
      <c r="B1184" s="7" t="s">
        <v>359</v>
      </c>
    </row>
    <row r="1185" spans="2:2" x14ac:dyDescent="0.2">
      <c r="B1185" s="7" t="s">
        <v>258</v>
      </c>
    </row>
    <row r="1186" spans="2:2" x14ac:dyDescent="0.2">
      <c r="B1186" s="7" t="s">
        <v>378</v>
      </c>
    </row>
    <row r="1187" spans="2:2" x14ac:dyDescent="0.2">
      <c r="B1187" s="7" t="s">
        <v>242</v>
      </c>
    </row>
    <row r="1188" spans="2:2" x14ac:dyDescent="0.2">
      <c r="B1188" s="7" t="s">
        <v>36</v>
      </c>
    </row>
    <row r="1189" spans="2:2" x14ac:dyDescent="0.2">
      <c r="B1189" s="7" t="s">
        <v>196</v>
      </c>
    </row>
    <row r="1190" spans="2:2" x14ac:dyDescent="0.2">
      <c r="B1190" s="7" t="s">
        <v>393</v>
      </c>
    </row>
    <row r="1191" spans="2:2" x14ac:dyDescent="0.2">
      <c r="B1191" s="7" t="s">
        <v>200</v>
      </c>
    </row>
    <row r="1192" spans="2:2" x14ac:dyDescent="0.2">
      <c r="B1192" s="7" t="s">
        <v>180</v>
      </c>
    </row>
    <row r="1193" spans="2:2" x14ac:dyDescent="0.2">
      <c r="B1193" s="7" t="s">
        <v>215</v>
      </c>
    </row>
    <row r="1194" spans="2:2" x14ac:dyDescent="0.2">
      <c r="B1194" s="7" t="s">
        <v>55</v>
      </c>
    </row>
    <row r="1195" spans="2:2" x14ac:dyDescent="0.2">
      <c r="B1195" s="7" t="s">
        <v>306</v>
      </c>
    </row>
    <row r="1196" spans="2:2" x14ac:dyDescent="0.2">
      <c r="B1196" s="7" t="s">
        <v>232</v>
      </c>
    </row>
    <row r="1197" spans="2:2" x14ac:dyDescent="0.2">
      <c r="B1197" s="7" t="s">
        <v>116</v>
      </c>
    </row>
    <row r="1198" spans="2:2" x14ac:dyDescent="0.2">
      <c r="B1198" s="7" t="s">
        <v>91</v>
      </c>
    </row>
    <row r="1199" spans="2:2" x14ac:dyDescent="0.2">
      <c r="B1199" s="7" t="s">
        <v>368</v>
      </c>
    </row>
    <row r="1200" spans="2:2" x14ac:dyDescent="0.2">
      <c r="B1200" s="7" t="s">
        <v>330</v>
      </c>
    </row>
    <row r="1201" spans="1:2" x14ac:dyDescent="0.2">
      <c r="B1201" s="7" t="s">
        <v>120</v>
      </c>
    </row>
    <row r="1202" spans="1:2" x14ac:dyDescent="0.2">
      <c r="A1202" s="7" t="s">
        <v>615</v>
      </c>
      <c r="B1202" s="7" t="s">
        <v>614</v>
      </c>
    </row>
    <row r="1203" spans="1:2" x14ac:dyDescent="0.2">
      <c r="B1203" s="7" t="s">
        <v>205</v>
      </c>
    </row>
    <row r="1204" spans="1:2" x14ac:dyDescent="0.2">
      <c r="B1204" s="7" t="s">
        <v>233</v>
      </c>
    </row>
    <row r="1205" spans="1:2" x14ac:dyDescent="0.2">
      <c r="B1205" s="7" t="s">
        <v>31</v>
      </c>
    </row>
    <row r="1206" spans="1:2" x14ac:dyDescent="0.2">
      <c r="B1206" s="7" t="s">
        <v>492</v>
      </c>
    </row>
    <row r="1207" spans="1:2" x14ac:dyDescent="0.2">
      <c r="B1207" s="7" t="s">
        <v>564</v>
      </c>
    </row>
    <row r="1208" spans="1:2" x14ac:dyDescent="0.2">
      <c r="B1208" s="7" t="s">
        <v>107</v>
      </c>
    </row>
    <row r="1209" spans="1:2" x14ac:dyDescent="0.2">
      <c r="B1209" s="7" t="s">
        <v>220</v>
      </c>
    </row>
    <row r="1210" spans="1:2" x14ac:dyDescent="0.2">
      <c r="B1210" s="7" t="s">
        <v>616</v>
      </c>
    </row>
    <row r="1211" spans="1:2" x14ac:dyDescent="0.2">
      <c r="B1211" s="7" t="s">
        <v>62</v>
      </c>
    </row>
    <row r="1212" spans="1:2" x14ac:dyDescent="0.2">
      <c r="B1212" s="7" t="s">
        <v>201</v>
      </c>
    </row>
    <row r="1213" spans="1:2" x14ac:dyDescent="0.2">
      <c r="B1213" s="7" t="s">
        <v>266</v>
      </c>
    </row>
    <row r="1214" spans="1:2" x14ac:dyDescent="0.2">
      <c r="B1214" s="7" t="s">
        <v>267</v>
      </c>
    </row>
    <row r="1215" spans="1:2" x14ac:dyDescent="0.2">
      <c r="B1215" s="7" t="s">
        <v>376</v>
      </c>
    </row>
    <row r="1216" spans="1:2" x14ac:dyDescent="0.2">
      <c r="B1216" s="7" t="s">
        <v>537</v>
      </c>
    </row>
    <row r="1217" spans="1:2" x14ac:dyDescent="0.2">
      <c r="A1217" s="7" t="s">
        <v>406</v>
      </c>
      <c r="B1217" s="7" t="s">
        <v>207</v>
      </c>
    </row>
    <row r="1218" spans="1:2" x14ac:dyDescent="0.2">
      <c r="B1218" s="7" t="s">
        <v>408</v>
      </c>
    </row>
    <row r="1219" spans="1:2" x14ac:dyDescent="0.2">
      <c r="B1219" s="7" t="s">
        <v>186</v>
      </c>
    </row>
    <row r="1220" spans="1:2" x14ac:dyDescent="0.2">
      <c r="B1220" s="7" t="s">
        <v>187</v>
      </c>
    </row>
    <row r="1221" spans="1:2" x14ac:dyDescent="0.2">
      <c r="B1221" s="7" t="s">
        <v>11</v>
      </c>
    </row>
    <row r="1222" spans="1:2" x14ac:dyDescent="0.2">
      <c r="B1222" s="7" t="s">
        <v>188</v>
      </c>
    </row>
    <row r="1223" spans="1:2" x14ac:dyDescent="0.2">
      <c r="B1223" s="7" t="s">
        <v>410</v>
      </c>
    </row>
    <row r="1224" spans="1:2" x14ac:dyDescent="0.2">
      <c r="B1224" s="7" t="s">
        <v>164</v>
      </c>
    </row>
    <row r="1225" spans="1:2" x14ac:dyDescent="0.2">
      <c r="B1225" s="7" t="s">
        <v>349</v>
      </c>
    </row>
    <row r="1226" spans="1:2" x14ac:dyDescent="0.2">
      <c r="B1226" s="7" t="s">
        <v>170</v>
      </c>
    </row>
    <row r="1227" spans="1:2" x14ac:dyDescent="0.2">
      <c r="B1227" s="7" t="s">
        <v>244</v>
      </c>
    </row>
    <row r="1228" spans="1:2" x14ac:dyDescent="0.2">
      <c r="B1228" s="7" t="s">
        <v>139</v>
      </c>
    </row>
    <row r="1229" spans="1:2" x14ac:dyDescent="0.2">
      <c r="B1229" s="7" t="s">
        <v>191</v>
      </c>
    </row>
    <row r="1230" spans="1:2" x14ac:dyDescent="0.2">
      <c r="B1230" s="7" t="s">
        <v>301</v>
      </c>
    </row>
    <row r="1231" spans="1:2" x14ac:dyDescent="0.2">
      <c r="B1231" s="7" t="s">
        <v>350</v>
      </c>
    </row>
    <row r="1232" spans="1:2" x14ac:dyDescent="0.2">
      <c r="B1232" s="7" t="s">
        <v>250</v>
      </c>
    </row>
    <row r="1233" spans="2:2" x14ac:dyDescent="0.2">
      <c r="B1233" s="7" t="s">
        <v>146</v>
      </c>
    </row>
    <row r="1234" spans="2:2" x14ac:dyDescent="0.2">
      <c r="B1234" s="7" t="s">
        <v>43</v>
      </c>
    </row>
    <row r="1235" spans="2:2" x14ac:dyDescent="0.2">
      <c r="B1235" s="7" t="s">
        <v>197</v>
      </c>
    </row>
    <row r="1236" spans="2:2" x14ac:dyDescent="0.2">
      <c r="B1236" s="7" t="s">
        <v>46</v>
      </c>
    </row>
    <row r="1237" spans="2:2" x14ac:dyDescent="0.2">
      <c r="B1237" s="7" t="s">
        <v>363</v>
      </c>
    </row>
    <row r="1238" spans="2:2" x14ac:dyDescent="0.2">
      <c r="B1238" s="7" t="s">
        <v>220</v>
      </c>
    </row>
    <row r="1239" spans="2:2" x14ac:dyDescent="0.2">
      <c r="B1239" s="7" t="s">
        <v>313</v>
      </c>
    </row>
    <row r="1240" spans="2:2" x14ac:dyDescent="0.2">
      <c r="B1240" s="7" t="s">
        <v>314</v>
      </c>
    </row>
    <row r="1241" spans="2:2" x14ac:dyDescent="0.2">
      <c r="B1241" s="7" t="s">
        <v>351</v>
      </c>
    </row>
    <row r="1242" spans="2:2" x14ac:dyDescent="0.2">
      <c r="B1242" s="7" t="s">
        <v>417</v>
      </c>
    </row>
    <row r="1243" spans="2:2" x14ac:dyDescent="0.2">
      <c r="B1243" s="7" t="s">
        <v>419</v>
      </c>
    </row>
    <row r="1244" spans="2:2" x14ac:dyDescent="0.2">
      <c r="B1244" s="7" t="s">
        <v>223</v>
      </c>
    </row>
    <row r="1245" spans="2:2" x14ac:dyDescent="0.2">
      <c r="B1245" s="7" t="s">
        <v>257</v>
      </c>
    </row>
    <row r="1246" spans="2:2" x14ac:dyDescent="0.2">
      <c r="B1246" s="7" t="s">
        <v>150</v>
      </c>
    </row>
    <row r="1247" spans="2:2" x14ac:dyDescent="0.2">
      <c r="B1247" s="7" t="s">
        <v>225</v>
      </c>
    </row>
    <row r="1248" spans="2:2" x14ac:dyDescent="0.2">
      <c r="B1248" s="7" t="s">
        <v>391</v>
      </c>
    </row>
    <row r="1249" spans="1:2" x14ac:dyDescent="0.2">
      <c r="B1249" s="7" t="s">
        <v>355</v>
      </c>
    </row>
    <row r="1250" spans="1:2" x14ac:dyDescent="0.2">
      <c r="B1250" s="7" t="s">
        <v>162</v>
      </c>
    </row>
    <row r="1251" spans="1:2" x14ac:dyDescent="0.2">
      <c r="B1251" s="7" t="s">
        <v>163</v>
      </c>
    </row>
    <row r="1252" spans="1:2" x14ac:dyDescent="0.2">
      <c r="B1252" s="7" t="s">
        <v>98</v>
      </c>
    </row>
    <row r="1253" spans="1:2" x14ac:dyDescent="0.2">
      <c r="B1253" s="7" t="s">
        <v>230</v>
      </c>
    </row>
    <row r="1254" spans="1:2" x14ac:dyDescent="0.2">
      <c r="B1254" s="7" t="s">
        <v>275</v>
      </c>
    </row>
    <row r="1255" spans="1:2" x14ac:dyDescent="0.2">
      <c r="A1255" s="7" t="s">
        <v>639</v>
      </c>
      <c r="B1255" s="7" t="s">
        <v>471</v>
      </c>
    </row>
    <row r="1256" spans="1:2" x14ac:dyDescent="0.2">
      <c r="B1256" s="7" t="s">
        <v>267</v>
      </c>
    </row>
    <row r="1257" spans="1:2" x14ac:dyDescent="0.2">
      <c r="A1257" s="7" t="s">
        <v>642</v>
      </c>
      <c r="B1257" s="7" t="s">
        <v>124</v>
      </c>
    </row>
    <row r="1258" spans="1:2" x14ac:dyDescent="0.2">
      <c r="B1258" s="7" t="s">
        <v>242</v>
      </c>
    </row>
    <row r="1259" spans="1:2" x14ac:dyDescent="0.2">
      <c r="B1259" s="7" t="s">
        <v>142</v>
      </c>
    </row>
    <row r="1260" spans="1:2" x14ac:dyDescent="0.2">
      <c r="B1260" s="7" t="s">
        <v>643</v>
      </c>
    </row>
    <row r="1261" spans="1:2" x14ac:dyDescent="0.2">
      <c r="B1261" s="7" t="s">
        <v>113</v>
      </c>
    </row>
    <row r="1262" spans="1:2" x14ac:dyDescent="0.2">
      <c r="B1262" s="7" t="s">
        <v>381</v>
      </c>
    </row>
    <row r="1263" spans="1:2" x14ac:dyDescent="0.2">
      <c r="B1263" s="7" t="s">
        <v>337</v>
      </c>
    </row>
    <row r="1264" spans="1:2" x14ac:dyDescent="0.2">
      <c r="B1264" s="7" t="s">
        <v>400</v>
      </c>
    </row>
    <row r="1265" spans="1:2" x14ac:dyDescent="0.2">
      <c r="B1265" s="7" t="s">
        <v>273</v>
      </c>
    </row>
    <row r="1266" spans="1:2" x14ac:dyDescent="0.2">
      <c r="B1266" s="7" t="s">
        <v>97</v>
      </c>
    </row>
    <row r="1267" spans="1:2" x14ac:dyDescent="0.2">
      <c r="B1267" s="7" t="s">
        <v>328</v>
      </c>
    </row>
    <row r="1268" spans="1:2" x14ac:dyDescent="0.2">
      <c r="B1268" s="7" t="s">
        <v>163</v>
      </c>
    </row>
    <row r="1269" spans="1:2" x14ac:dyDescent="0.2">
      <c r="B1269" s="7" t="s">
        <v>277</v>
      </c>
    </row>
    <row r="1270" spans="1:2" x14ac:dyDescent="0.2">
      <c r="B1270" s="7" t="s">
        <v>204</v>
      </c>
    </row>
    <row r="1271" spans="1:2" x14ac:dyDescent="0.2">
      <c r="A1271" s="7" t="s">
        <v>675</v>
      </c>
      <c r="B1271" s="7" t="s">
        <v>8</v>
      </c>
    </row>
    <row r="1272" spans="1:2" x14ac:dyDescent="0.2">
      <c r="B1272" s="7" t="s">
        <v>127</v>
      </c>
    </row>
    <row r="1273" spans="1:2" x14ac:dyDescent="0.2">
      <c r="B1273" s="7" t="s">
        <v>676</v>
      </c>
    </row>
    <row r="1274" spans="1:2" x14ac:dyDescent="0.2">
      <c r="B1274" s="7" t="s">
        <v>243</v>
      </c>
    </row>
    <row r="1275" spans="1:2" x14ac:dyDescent="0.2">
      <c r="B1275" s="7" t="s">
        <v>663</v>
      </c>
    </row>
    <row r="1276" spans="1:2" x14ac:dyDescent="0.2">
      <c r="B1276" s="7" t="s">
        <v>313</v>
      </c>
    </row>
    <row r="1277" spans="1:2" x14ac:dyDescent="0.2">
      <c r="B1277" s="7" t="s">
        <v>417</v>
      </c>
    </row>
    <row r="1278" spans="1:2" x14ac:dyDescent="0.2">
      <c r="B1278" s="7" t="s">
        <v>154</v>
      </c>
    </row>
    <row r="1279" spans="1:2" x14ac:dyDescent="0.2">
      <c r="B1279" s="7" t="s">
        <v>501</v>
      </c>
    </row>
    <row r="1280" spans="1:2" x14ac:dyDescent="0.2">
      <c r="B1280" s="7" t="s">
        <v>269</v>
      </c>
    </row>
    <row r="1281" spans="1:2" x14ac:dyDescent="0.2">
      <c r="B1281" s="7" t="s">
        <v>161</v>
      </c>
    </row>
    <row r="1282" spans="1:2" x14ac:dyDescent="0.2">
      <c r="A1282" s="7" t="s">
        <v>682</v>
      </c>
      <c r="B1282" s="7" t="s">
        <v>207</v>
      </c>
    </row>
    <row r="1283" spans="1:2" x14ac:dyDescent="0.2">
      <c r="B1283" s="7" t="s">
        <v>278</v>
      </c>
    </row>
    <row r="1284" spans="1:2" x14ac:dyDescent="0.2">
      <c r="B1284" s="7" t="s">
        <v>8</v>
      </c>
    </row>
    <row r="1285" spans="1:2" x14ac:dyDescent="0.2">
      <c r="B1285" s="7" t="s">
        <v>183</v>
      </c>
    </row>
    <row r="1286" spans="1:2" x14ac:dyDescent="0.2">
      <c r="B1286" s="7" t="s">
        <v>124</v>
      </c>
    </row>
    <row r="1287" spans="1:2" x14ac:dyDescent="0.2">
      <c r="B1287" s="7" t="s">
        <v>281</v>
      </c>
    </row>
    <row r="1288" spans="1:2" x14ac:dyDescent="0.2">
      <c r="B1288" s="7" t="s">
        <v>103</v>
      </c>
    </row>
    <row r="1289" spans="1:2" x14ac:dyDescent="0.2">
      <c r="B1289" s="7" t="s">
        <v>283</v>
      </c>
    </row>
    <row r="1290" spans="1:2" x14ac:dyDescent="0.2">
      <c r="B1290" s="7" t="s">
        <v>646</v>
      </c>
    </row>
    <row r="1291" spans="1:2" x14ac:dyDescent="0.2">
      <c r="B1291" s="7" t="s">
        <v>127</v>
      </c>
    </row>
    <row r="1292" spans="1:2" x14ac:dyDescent="0.2">
      <c r="B1292" s="7" t="s">
        <v>209</v>
      </c>
    </row>
    <row r="1293" spans="1:2" x14ac:dyDescent="0.2">
      <c r="B1293" s="7" t="s">
        <v>671</v>
      </c>
    </row>
    <row r="1294" spans="1:2" x14ac:dyDescent="0.2">
      <c r="B1294" s="7" t="s">
        <v>11</v>
      </c>
    </row>
    <row r="1295" spans="1:2" x14ac:dyDescent="0.2">
      <c r="B1295" s="7" t="s">
        <v>284</v>
      </c>
    </row>
    <row r="1296" spans="1:2" x14ac:dyDescent="0.2">
      <c r="B1296" s="7" t="s">
        <v>188</v>
      </c>
    </row>
    <row r="1297" spans="2:2" x14ac:dyDescent="0.2">
      <c r="B1297" s="7" t="s">
        <v>285</v>
      </c>
    </row>
    <row r="1298" spans="2:2" x14ac:dyDescent="0.2">
      <c r="B1298" s="7" t="s">
        <v>286</v>
      </c>
    </row>
    <row r="1299" spans="2:2" x14ac:dyDescent="0.2">
      <c r="B1299" s="7" t="s">
        <v>410</v>
      </c>
    </row>
    <row r="1300" spans="2:2" x14ac:dyDescent="0.2">
      <c r="B1300" s="7" t="s">
        <v>164</v>
      </c>
    </row>
    <row r="1301" spans="2:2" x14ac:dyDescent="0.2">
      <c r="B1301" s="7" t="s">
        <v>189</v>
      </c>
    </row>
    <row r="1302" spans="2:2" x14ac:dyDescent="0.2">
      <c r="B1302" s="7" t="s">
        <v>210</v>
      </c>
    </row>
    <row r="1303" spans="2:2" x14ac:dyDescent="0.2">
      <c r="B1303" s="7" t="s">
        <v>287</v>
      </c>
    </row>
    <row r="1304" spans="2:2" x14ac:dyDescent="0.2">
      <c r="B1304" s="7" t="s">
        <v>12</v>
      </c>
    </row>
    <row r="1305" spans="2:2" x14ac:dyDescent="0.2">
      <c r="B1305" s="7" t="s">
        <v>484</v>
      </c>
    </row>
    <row r="1306" spans="2:2" x14ac:dyDescent="0.2">
      <c r="B1306" s="7" t="s">
        <v>190</v>
      </c>
    </row>
    <row r="1307" spans="2:2" x14ac:dyDescent="0.2">
      <c r="B1307" s="7" t="s">
        <v>658</v>
      </c>
    </row>
    <row r="1308" spans="2:2" x14ac:dyDescent="0.2">
      <c r="B1308" s="7" t="s">
        <v>288</v>
      </c>
    </row>
    <row r="1309" spans="2:2" x14ac:dyDescent="0.2">
      <c r="B1309" s="7" t="s">
        <v>13</v>
      </c>
    </row>
    <row r="1310" spans="2:2" x14ac:dyDescent="0.2">
      <c r="B1310" s="7" t="s">
        <v>289</v>
      </c>
    </row>
    <row r="1311" spans="2:2" x14ac:dyDescent="0.2">
      <c r="B1311" s="7" t="s">
        <v>106</v>
      </c>
    </row>
    <row r="1312" spans="2:2" x14ac:dyDescent="0.2">
      <c r="B1312" s="7" t="s">
        <v>349</v>
      </c>
    </row>
    <row r="1313" spans="2:2" x14ac:dyDescent="0.2">
      <c r="B1313" s="7" t="s">
        <v>486</v>
      </c>
    </row>
    <row r="1314" spans="2:2" x14ac:dyDescent="0.2">
      <c r="B1314" s="7" t="s">
        <v>291</v>
      </c>
    </row>
    <row r="1315" spans="2:2" x14ac:dyDescent="0.2">
      <c r="B1315" s="7" t="s">
        <v>532</v>
      </c>
    </row>
    <row r="1316" spans="2:2" x14ac:dyDescent="0.2">
      <c r="B1316" s="7" t="s">
        <v>292</v>
      </c>
    </row>
    <row r="1317" spans="2:2" x14ac:dyDescent="0.2">
      <c r="B1317" s="7" t="s">
        <v>212</v>
      </c>
    </row>
    <row r="1318" spans="2:2" x14ac:dyDescent="0.2">
      <c r="B1318" s="7" t="s">
        <v>294</v>
      </c>
    </row>
    <row r="1319" spans="2:2" x14ac:dyDescent="0.2">
      <c r="B1319" s="7" t="s">
        <v>295</v>
      </c>
    </row>
    <row r="1320" spans="2:2" x14ac:dyDescent="0.2">
      <c r="B1320" s="7" t="s">
        <v>536</v>
      </c>
    </row>
    <row r="1321" spans="2:2" x14ac:dyDescent="0.2">
      <c r="B1321" s="7" t="s">
        <v>296</v>
      </c>
    </row>
    <row r="1322" spans="2:2" x14ac:dyDescent="0.2">
      <c r="B1322" s="7" t="s">
        <v>20</v>
      </c>
    </row>
    <row r="1323" spans="2:2" x14ac:dyDescent="0.2">
      <c r="B1323" s="7" t="s">
        <v>169</v>
      </c>
    </row>
    <row r="1324" spans="2:2" x14ac:dyDescent="0.2">
      <c r="B1324" s="7" t="s">
        <v>138</v>
      </c>
    </row>
    <row r="1325" spans="2:2" x14ac:dyDescent="0.2">
      <c r="B1325" s="7" t="s">
        <v>241</v>
      </c>
    </row>
    <row r="1326" spans="2:2" x14ac:dyDescent="0.2">
      <c r="B1326" s="7" t="s">
        <v>676</v>
      </c>
    </row>
    <row r="1327" spans="2:2" x14ac:dyDescent="0.2">
      <c r="B1327" s="7" t="s">
        <v>214</v>
      </c>
    </row>
    <row r="1328" spans="2:2" x14ac:dyDescent="0.2">
      <c r="B1328" s="7" t="s">
        <v>297</v>
      </c>
    </row>
    <row r="1329" spans="2:2" x14ac:dyDescent="0.2">
      <c r="B1329" s="7" t="s">
        <v>170</v>
      </c>
    </row>
    <row r="1330" spans="2:2" x14ac:dyDescent="0.2">
      <c r="B1330" s="7" t="s">
        <v>25</v>
      </c>
    </row>
    <row r="1331" spans="2:2" x14ac:dyDescent="0.2">
      <c r="B1331" s="7" t="s">
        <v>533</v>
      </c>
    </row>
    <row r="1332" spans="2:2" x14ac:dyDescent="0.2">
      <c r="B1332" s="7" t="s">
        <v>389</v>
      </c>
    </row>
    <row r="1333" spans="2:2" x14ac:dyDescent="0.2">
      <c r="B1333" s="7" t="s">
        <v>135</v>
      </c>
    </row>
    <row r="1334" spans="2:2" x14ac:dyDescent="0.2">
      <c r="B1334" s="7" t="s">
        <v>298</v>
      </c>
    </row>
    <row r="1335" spans="2:2" x14ac:dyDescent="0.2">
      <c r="B1335" s="7" t="s">
        <v>243</v>
      </c>
    </row>
    <row r="1336" spans="2:2" x14ac:dyDescent="0.2">
      <c r="B1336" s="7" t="s">
        <v>216</v>
      </c>
    </row>
    <row r="1337" spans="2:2" x14ac:dyDescent="0.2">
      <c r="B1337" s="7" t="s">
        <v>172</v>
      </c>
    </row>
    <row r="1338" spans="2:2" x14ac:dyDescent="0.2">
      <c r="B1338" s="7" t="s">
        <v>244</v>
      </c>
    </row>
    <row r="1339" spans="2:2" x14ac:dyDescent="0.2">
      <c r="B1339" s="7" t="s">
        <v>663</v>
      </c>
    </row>
    <row r="1340" spans="2:2" x14ac:dyDescent="0.2">
      <c r="B1340" s="7" t="s">
        <v>246</v>
      </c>
    </row>
    <row r="1341" spans="2:2" x14ac:dyDescent="0.2">
      <c r="B1341" s="7" t="s">
        <v>634</v>
      </c>
    </row>
    <row r="1342" spans="2:2" x14ac:dyDescent="0.2">
      <c r="B1342" s="7" t="s">
        <v>299</v>
      </c>
    </row>
    <row r="1343" spans="2:2" x14ac:dyDescent="0.2">
      <c r="B1343" s="7" t="s">
        <v>516</v>
      </c>
    </row>
    <row r="1344" spans="2:2" x14ac:dyDescent="0.2">
      <c r="B1344" s="7" t="s">
        <v>249</v>
      </c>
    </row>
    <row r="1345" spans="2:2" x14ac:dyDescent="0.2">
      <c r="B1345" s="7" t="s">
        <v>142</v>
      </c>
    </row>
    <row r="1346" spans="2:2" x14ac:dyDescent="0.2">
      <c r="B1346" s="7" t="s">
        <v>113</v>
      </c>
    </row>
    <row r="1347" spans="2:2" x14ac:dyDescent="0.2">
      <c r="B1347" s="7" t="s">
        <v>193</v>
      </c>
    </row>
    <row r="1348" spans="2:2" x14ac:dyDescent="0.2">
      <c r="B1348" s="7" t="s">
        <v>31</v>
      </c>
    </row>
    <row r="1349" spans="2:2" x14ac:dyDescent="0.2">
      <c r="B1349" s="7" t="s">
        <v>492</v>
      </c>
    </row>
    <row r="1350" spans="2:2" x14ac:dyDescent="0.2">
      <c r="B1350" s="7" t="s">
        <v>564</v>
      </c>
    </row>
    <row r="1351" spans="2:2" x14ac:dyDescent="0.2">
      <c r="B1351" s="7" t="s">
        <v>449</v>
      </c>
    </row>
    <row r="1352" spans="2:2" x14ac:dyDescent="0.2">
      <c r="B1352" s="7" t="s">
        <v>301</v>
      </c>
    </row>
    <row r="1353" spans="2:2" x14ac:dyDescent="0.2">
      <c r="B1353" s="7" t="s">
        <v>302</v>
      </c>
    </row>
    <row r="1354" spans="2:2" x14ac:dyDescent="0.2">
      <c r="B1354" s="7" t="s">
        <v>350</v>
      </c>
    </row>
    <row r="1355" spans="2:2" x14ac:dyDescent="0.2">
      <c r="B1355" s="7" t="s">
        <v>33</v>
      </c>
    </row>
    <row r="1356" spans="2:2" x14ac:dyDescent="0.2">
      <c r="B1356" s="7" t="s">
        <v>250</v>
      </c>
    </row>
    <row r="1357" spans="2:2" x14ac:dyDescent="0.2">
      <c r="B1357" s="7" t="s">
        <v>253</v>
      </c>
    </row>
    <row r="1358" spans="2:2" x14ac:dyDescent="0.2">
      <c r="B1358" s="7" t="s">
        <v>655</v>
      </c>
    </row>
    <row r="1359" spans="2:2" x14ac:dyDescent="0.2">
      <c r="B1359" s="7" t="s">
        <v>667</v>
      </c>
    </row>
    <row r="1360" spans="2:2" x14ac:dyDescent="0.2">
      <c r="B1360" s="7" t="s">
        <v>194</v>
      </c>
    </row>
    <row r="1361" spans="2:2" x14ac:dyDescent="0.2">
      <c r="B1361" s="7" t="s">
        <v>195</v>
      </c>
    </row>
    <row r="1362" spans="2:2" x14ac:dyDescent="0.2">
      <c r="B1362" s="7" t="s">
        <v>36</v>
      </c>
    </row>
    <row r="1363" spans="2:2" x14ac:dyDescent="0.2">
      <c r="B1363" s="7" t="s">
        <v>451</v>
      </c>
    </row>
    <row r="1364" spans="2:2" x14ac:dyDescent="0.2">
      <c r="B1364" s="7" t="s">
        <v>146</v>
      </c>
    </row>
    <row r="1365" spans="2:2" x14ac:dyDescent="0.2">
      <c r="B1365" s="7" t="s">
        <v>303</v>
      </c>
    </row>
    <row r="1366" spans="2:2" x14ac:dyDescent="0.2">
      <c r="B1366" s="7" t="s">
        <v>254</v>
      </c>
    </row>
    <row r="1367" spans="2:2" x14ac:dyDescent="0.2">
      <c r="B1367" s="7" t="s">
        <v>542</v>
      </c>
    </row>
    <row r="1368" spans="2:2" x14ac:dyDescent="0.2">
      <c r="B1368" s="7" t="s">
        <v>305</v>
      </c>
    </row>
    <row r="1369" spans="2:2" x14ac:dyDescent="0.2">
      <c r="B1369" s="7" t="s">
        <v>128</v>
      </c>
    </row>
    <row r="1370" spans="2:2" x14ac:dyDescent="0.2">
      <c r="B1370" s="7" t="s">
        <v>41</v>
      </c>
    </row>
    <row r="1371" spans="2:2" x14ac:dyDescent="0.2">
      <c r="B1371" s="7" t="s">
        <v>197</v>
      </c>
    </row>
    <row r="1372" spans="2:2" x14ac:dyDescent="0.2">
      <c r="B1372" s="7" t="s">
        <v>141</v>
      </c>
    </row>
    <row r="1373" spans="2:2" x14ac:dyDescent="0.2">
      <c r="B1373" s="7" t="s">
        <v>308</v>
      </c>
    </row>
    <row r="1374" spans="2:2" x14ac:dyDescent="0.2">
      <c r="B1374" s="7" t="s">
        <v>310</v>
      </c>
    </row>
    <row r="1375" spans="2:2" x14ac:dyDescent="0.2">
      <c r="B1375" s="7" t="s">
        <v>149</v>
      </c>
    </row>
    <row r="1376" spans="2:2" x14ac:dyDescent="0.2">
      <c r="B1376" s="7" t="s">
        <v>174</v>
      </c>
    </row>
    <row r="1377" spans="2:2" x14ac:dyDescent="0.2">
      <c r="B1377" s="7" t="s">
        <v>340</v>
      </c>
    </row>
    <row r="1378" spans="2:2" x14ac:dyDescent="0.2">
      <c r="B1378" s="7" t="s">
        <v>175</v>
      </c>
    </row>
    <row r="1379" spans="2:2" x14ac:dyDescent="0.2">
      <c r="B1379" s="7" t="s">
        <v>313</v>
      </c>
    </row>
    <row r="1380" spans="2:2" x14ac:dyDescent="0.2">
      <c r="B1380" s="7" t="s">
        <v>314</v>
      </c>
    </row>
    <row r="1381" spans="2:2" x14ac:dyDescent="0.2">
      <c r="B1381" s="7" t="s">
        <v>221</v>
      </c>
    </row>
    <row r="1382" spans="2:2" x14ac:dyDescent="0.2">
      <c r="B1382" s="7" t="s">
        <v>351</v>
      </c>
    </row>
    <row r="1383" spans="2:2" x14ac:dyDescent="0.2">
      <c r="B1383" s="7" t="s">
        <v>417</v>
      </c>
    </row>
    <row r="1384" spans="2:2" x14ac:dyDescent="0.2">
      <c r="B1384" s="7" t="s">
        <v>178</v>
      </c>
    </row>
    <row r="1385" spans="2:2" x14ac:dyDescent="0.2">
      <c r="B1385" s="7" t="s">
        <v>610</v>
      </c>
    </row>
    <row r="1386" spans="2:2" x14ac:dyDescent="0.2">
      <c r="B1386" s="7" t="s">
        <v>611</v>
      </c>
    </row>
    <row r="1387" spans="2:2" x14ac:dyDescent="0.2">
      <c r="B1387" s="7" t="s">
        <v>317</v>
      </c>
    </row>
    <row r="1388" spans="2:2" x14ac:dyDescent="0.2">
      <c r="B1388" s="7" t="s">
        <v>398</v>
      </c>
    </row>
    <row r="1389" spans="2:2" x14ac:dyDescent="0.2">
      <c r="B1389" s="7" t="s">
        <v>419</v>
      </c>
    </row>
    <row r="1390" spans="2:2" x14ac:dyDescent="0.2">
      <c r="B1390" s="7" t="s">
        <v>180</v>
      </c>
    </row>
    <row r="1391" spans="2:2" x14ac:dyDescent="0.2">
      <c r="B1391" s="7" t="s">
        <v>366</v>
      </c>
    </row>
    <row r="1392" spans="2:2" x14ac:dyDescent="0.2">
      <c r="B1392" s="7" t="s">
        <v>341</v>
      </c>
    </row>
    <row r="1393" spans="2:2" x14ac:dyDescent="0.2">
      <c r="B1393" s="7" t="s">
        <v>260</v>
      </c>
    </row>
    <row r="1394" spans="2:2" x14ac:dyDescent="0.2">
      <c r="B1394" s="7" t="s">
        <v>223</v>
      </c>
    </row>
    <row r="1395" spans="2:2" x14ac:dyDescent="0.2">
      <c r="B1395" s="7" t="s">
        <v>337</v>
      </c>
    </row>
    <row r="1396" spans="2:2" x14ac:dyDescent="0.2">
      <c r="B1396" s="7" t="s">
        <v>257</v>
      </c>
    </row>
    <row r="1397" spans="2:2" x14ac:dyDescent="0.2">
      <c r="B1397" s="7" t="s">
        <v>468</v>
      </c>
    </row>
    <row r="1398" spans="2:2" x14ac:dyDescent="0.2">
      <c r="B1398" s="7" t="s">
        <v>150</v>
      </c>
    </row>
    <row r="1399" spans="2:2" x14ac:dyDescent="0.2">
      <c r="B1399" s="7" t="s">
        <v>55</v>
      </c>
    </row>
    <row r="1400" spans="2:2" x14ac:dyDescent="0.2">
      <c r="B1400" s="7" t="s">
        <v>318</v>
      </c>
    </row>
    <row r="1401" spans="2:2" x14ac:dyDescent="0.2">
      <c r="B1401" s="7" t="s">
        <v>108</v>
      </c>
    </row>
    <row r="1402" spans="2:2" x14ac:dyDescent="0.2">
      <c r="B1402" s="7" t="s">
        <v>154</v>
      </c>
    </row>
    <row r="1403" spans="2:2" x14ac:dyDescent="0.2">
      <c r="B1403" s="7" t="s">
        <v>224</v>
      </c>
    </row>
    <row r="1404" spans="2:2" x14ac:dyDescent="0.2">
      <c r="B1404" s="7" t="s">
        <v>261</v>
      </c>
    </row>
    <row r="1405" spans="2:2" x14ac:dyDescent="0.2">
      <c r="B1405" s="7" t="s">
        <v>109</v>
      </c>
    </row>
    <row r="1406" spans="2:2" x14ac:dyDescent="0.2">
      <c r="B1406" s="7" t="s">
        <v>320</v>
      </c>
    </row>
    <row r="1407" spans="2:2" x14ac:dyDescent="0.2">
      <c r="B1407" s="7" t="s">
        <v>353</v>
      </c>
    </row>
    <row r="1408" spans="2:2" x14ac:dyDescent="0.2">
      <c r="B1408" s="7" t="s">
        <v>632</v>
      </c>
    </row>
    <row r="1409" spans="2:2" x14ac:dyDescent="0.2">
      <c r="B1409" s="7" t="s">
        <v>111</v>
      </c>
    </row>
    <row r="1410" spans="2:2" x14ac:dyDescent="0.2">
      <c r="B1410" s="7" t="s">
        <v>390</v>
      </c>
    </row>
    <row r="1411" spans="2:2" x14ac:dyDescent="0.2">
      <c r="B1411" s="7" t="s">
        <v>232</v>
      </c>
    </row>
    <row r="1412" spans="2:2" x14ac:dyDescent="0.2">
      <c r="B1412" s="7" t="s">
        <v>501</v>
      </c>
    </row>
    <row r="1413" spans="2:2" x14ac:dyDescent="0.2">
      <c r="B1413" s="7" t="s">
        <v>64</v>
      </c>
    </row>
    <row r="1414" spans="2:2" x14ac:dyDescent="0.2">
      <c r="B1414" s="7" t="s">
        <v>321</v>
      </c>
    </row>
    <row r="1415" spans="2:2" x14ac:dyDescent="0.2">
      <c r="B1415" s="7" t="s">
        <v>201</v>
      </c>
    </row>
    <row r="1416" spans="2:2" x14ac:dyDescent="0.2">
      <c r="B1416" s="7" t="s">
        <v>323</v>
      </c>
    </row>
    <row r="1417" spans="2:2" x14ac:dyDescent="0.2">
      <c r="B1417" s="7" t="s">
        <v>527</v>
      </c>
    </row>
    <row r="1418" spans="2:2" x14ac:dyDescent="0.2">
      <c r="B1418" s="7" t="s">
        <v>265</v>
      </c>
    </row>
    <row r="1419" spans="2:2" x14ac:dyDescent="0.2">
      <c r="B1419" s="7" t="s">
        <v>225</v>
      </c>
    </row>
    <row r="1420" spans="2:2" x14ac:dyDescent="0.2">
      <c r="B1420" s="7" t="s">
        <v>158</v>
      </c>
    </row>
    <row r="1421" spans="2:2" x14ac:dyDescent="0.2">
      <c r="B1421" s="7" t="s">
        <v>226</v>
      </c>
    </row>
    <row r="1422" spans="2:2" x14ac:dyDescent="0.2">
      <c r="B1422" s="7" t="s">
        <v>266</v>
      </c>
    </row>
    <row r="1423" spans="2:2" x14ac:dyDescent="0.2">
      <c r="B1423" s="7" t="s">
        <v>268</v>
      </c>
    </row>
    <row r="1424" spans="2:2" x14ac:dyDescent="0.2">
      <c r="B1424" s="7" t="s">
        <v>78</v>
      </c>
    </row>
    <row r="1425" spans="2:2" x14ac:dyDescent="0.2">
      <c r="B1425" s="7" t="s">
        <v>529</v>
      </c>
    </row>
    <row r="1426" spans="2:2" x14ac:dyDescent="0.2">
      <c r="B1426" s="7" t="s">
        <v>391</v>
      </c>
    </row>
    <row r="1427" spans="2:2" x14ac:dyDescent="0.2">
      <c r="B1427" s="7" t="s">
        <v>344</v>
      </c>
    </row>
    <row r="1428" spans="2:2" x14ac:dyDescent="0.2">
      <c r="B1428" s="7" t="s">
        <v>85</v>
      </c>
    </row>
    <row r="1429" spans="2:2" x14ac:dyDescent="0.2">
      <c r="B1429" s="7" t="s">
        <v>83</v>
      </c>
    </row>
    <row r="1430" spans="2:2" x14ac:dyDescent="0.2">
      <c r="B1430" s="7" t="s">
        <v>84</v>
      </c>
    </row>
    <row r="1431" spans="2:2" x14ac:dyDescent="0.2">
      <c r="B1431" s="7" t="s">
        <v>86</v>
      </c>
    </row>
    <row r="1432" spans="2:2" x14ac:dyDescent="0.2">
      <c r="B1432" s="7" t="s">
        <v>87</v>
      </c>
    </row>
    <row r="1433" spans="2:2" x14ac:dyDescent="0.2">
      <c r="B1433" s="7" t="s">
        <v>88</v>
      </c>
    </row>
    <row r="1434" spans="2:2" x14ac:dyDescent="0.2">
      <c r="B1434" s="7" t="s">
        <v>89</v>
      </c>
    </row>
    <row r="1435" spans="2:2" x14ac:dyDescent="0.2">
      <c r="B1435" s="7" t="s">
        <v>90</v>
      </c>
    </row>
    <row r="1436" spans="2:2" x14ac:dyDescent="0.2">
      <c r="B1436" s="7" t="s">
        <v>91</v>
      </c>
    </row>
    <row r="1437" spans="2:2" x14ac:dyDescent="0.2">
      <c r="B1437" s="7" t="s">
        <v>160</v>
      </c>
    </row>
    <row r="1438" spans="2:2" x14ac:dyDescent="0.2">
      <c r="B1438" s="7" t="s">
        <v>92</v>
      </c>
    </row>
    <row r="1439" spans="2:2" x14ac:dyDescent="0.2">
      <c r="B1439" s="7" t="s">
        <v>94</v>
      </c>
    </row>
    <row r="1440" spans="2:2" x14ac:dyDescent="0.2">
      <c r="B1440" s="7" t="s">
        <v>534</v>
      </c>
    </row>
    <row r="1441" spans="2:2" x14ac:dyDescent="0.2">
      <c r="B1441" s="7" t="s">
        <v>269</v>
      </c>
    </row>
    <row r="1442" spans="2:2" x14ac:dyDescent="0.2">
      <c r="B1442" s="7" t="s">
        <v>161</v>
      </c>
    </row>
    <row r="1443" spans="2:2" x14ac:dyDescent="0.2">
      <c r="B1443" s="7" t="s">
        <v>326</v>
      </c>
    </row>
    <row r="1444" spans="2:2" x14ac:dyDescent="0.2">
      <c r="B1444" s="7" t="s">
        <v>271</v>
      </c>
    </row>
    <row r="1445" spans="2:2" x14ac:dyDescent="0.2">
      <c r="B1445" s="7" t="s">
        <v>539</v>
      </c>
    </row>
    <row r="1446" spans="2:2" x14ac:dyDescent="0.2">
      <c r="B1446" s="7" t="s">
        <v>97</v>
      </c>
    </row>
    <row r="1447" spans="2:2" x14ac:dyDescent="0.2">
      <c r="B1447" s="7" t="s">
        <v>328</v>
      </c>
    </row>
    <row r="1448" spans="2:2" x14ac:dyDescent="0.2">
      <c r="B1448" s="7" t="s">
        <v>163</v>
      </c>
    </row>
    <row r="1449" spans="2:2" x14ac:dyDescent="0.2">
      <c r="B1449" s="7" t="s">
        <v>330</v>
      </c>
    </row>
    <row r="1450" spans="2:2" x14ac:dyDescent="0.2">
      <c r="B1450" s="7" t="s">
        <v>277</v>
      </c>
    </row>
    <row r="1451" spans="2:2" x14ac:dyDescent="0.2">
      <c r="B1451" s="7" t="s">
        <v>595</v>
      </c>
    </row>
    <row r="1452" spans="2:2" x14ac:dyDescent="0.2">
      <c r="B1452" s="7" t="s">
        <v>230</v>
      </c>
    </row>
    <row r="1453" spans="2:2" x14ac:dyDescent="0.2">
      <c r="B1453" s="7" t="s">
        <v>333</v>
      </c>
    </row>
    <row r="1454" spans="2:2" x14ac:dyDescent="0.2">
      <c r="B1454" s="7" t="s">
        <v>370</v>
      </c>
    </row>
    <row r="1455" spans="2:2" x14ac:dyDescent="0.2">
      <c r="B1455" s="7" t="s">
        <v>530</v>
      </c>
    </row>
    <row r="1456" spans="2:2" x14ac:dyDescent="0.2">
      <c r="B1456" s="7" t="s">
        <v>120</v>
      </c>
    </row>
    <row r="1457" spans="1:2" x14ac:dyDescent="0.2">
      <c r="B1457" s="7" t="s">
        <v>334</v>
      </c>
    </row>
    <row r="1458" spans="1:2" x14ac:dyDescent="0.2">
      <c r="B1458" s="7" t="s">
        <v>231</v>
      </c>
    </row>
    <row r="1459" spans="1:2" x14ac:dyDescent="0.2">
      <c r="B1459" s="7" t="s">
        <v>181</v>
      </c>
    </row>
    <row r="1460" spans="1:2" x14ac:dyDescent="0.2">
      <c r="B1460" s="7" t="s">
        <v>204</v>
      </c>
    </row>
    <row r="1461" spans="1:2" x14ac:dyDescent="0.2">
      <c r="B1461" s="7" t="s">
        <v>145</v>
      </c>
    </row>
    <row r="1462" spans="1:2" x14ac:dyDescent="0.2">
      <c r="B1462" s="7" t="s">
        <v>102</v>
      </c>
    </row>
    <row r="1463" spans="1:2" x14ac:dyDescent="0.2">
      <c r="B1463" s="7" t="s">
        <v>346</v>
      </c>
    </row>
    <row r="1464" spans="1:2" x14ac:dyDescent="0.2">
      <c r="B1464" s="7" t="s">
        <v>182</v>
      </c>
    </row>
    <row r="1465" spans="1:2" x14ac:dyDescent="0.2">
      <c r="A1465" s="7" t="s">
        <v>427</v>
      </c>
      <c r="B1465" s="7" t="s">
        <v>359</v>
      </c>
    </row>
    <row r="1466" spans="1:2" x14ac:dyDescent="0.2">
      <c r="B1466" s="7" t="s">
        <v>187</v>
      </c>
    </row>
    <row r="1467" spans="1:2" x14ac:dyDescent="0.2">
      <c r="B1467" s="7" t="s">
        <v>431</v>
      </c>
    </row>
    <row r="1468" spans="1:2" x14ac:dyDescent="0.2">
      <c r="B1468" s="7" t="s">
        <v>367</v>
      </c>
    </row>
    <row r="1469" spans="1:2" x14ac:dyDescent="0.2">
      <c r="B1469" s="7" t="s">
        <v>306</v>
      </c>
    </row>
    <row r="1470" spans="1:2" x14ac:dyDescent="0.2">
      <c r="B1470" s="7" t="s">
        <v>382</v>
      </c>
    </row>
    <row r="1471" spans="1:2" x14ac:dyDescent="0.2">
      <c r="A1471" s="7" t="s">
        <v>674</v>
      </c>
      <c r="B1471" s="7" t="s">
        <v>646</v>
      </c>
    </row>
    <row r="1472" spans="1:2" x14ac:dyDescent="0.2">
      <c r="B1472" s="7" t="s">
        <v>671</v>
      </c>
    </row>
    <row r="1473" spans="1:2" x14ac:dyDescent="0.2">
      <c r="B1473" s="7" t="s">
        <v>284</v>
      </c>
    </row>
    <row r="1474" spans="1:2" x14ac:dyDescent="0.2">
      <c r="B1474" s="7" t="s">
        <v>20</v>
      </c>
    </row>
    <row r="1475" spans="1:2" x14ac:dyDescent="0.2">
      <c r="B1475" s="7" t="s">
        <v>31</v>
      </c>
    </row>
    <row r="1476" spans="1:2" x14ac:dyDescent="0.2">
      <c r="B1476" s="7" t="s">
        <v>137</v>
      </c>
    </row>
    <row r="1477" spans="1:2" x14ac:dyDescent="0.2">
      <c r="B1477" s="7" t="s">
        <v>221</v>
      </c>
    </row>
    <row r="1478" spans="1:2" x14ac:dyDescent="0.2">
      <c r="B1478" s="7" t="s">
        <v>317</v>
      </c>
    </row>
    <row r="1479" spans="1:2" x14ac:dyDescent="0.2">
      <c r="B1479" s="7" t="s">
        <v>327</v>
      </c>
    </row>
    <row r="1480" spans="1:2" x14ac:dyDescent="0.2">
      <c r="A1480" s="7" t="s">
        <v>672</v>
      </c>
      <c r="B1480" s="7" t="s">
        <v>671</v>
      </c>
    </row>
    <row r="1481" spans="1:2" x14ac:dyDescent="0.2">
      <c r="B1481" s="7" t="s">
        <v>304</v>
      </c>
    </row>
    <row r="1482" spans="1:2" x14ac:dyDescent="0.2">
      <c r="B1482" s="7" t="s">
        <v>314</v>
      </c>
    </row>
    <row r="1483" spans="1:2" x14ac:dyDescent="0.2">
      <c r="B1483" s="7" t="s">
        <v>611</v>
      </c>
    </row>
    <row r="1484" spans="1:2" x14ac:dyDescent="0.2">
      <c r="B1484" s="7" t="s">
        <v>632</v>
      </c>
    </row>
    <row r="1485" spans="1:2" x14ac:dyDescent="0.2">
      <c r="B1485" s="7" t="s">
        <v>275</v>
      </c>
    </row>
    <row r="1486" spans="1:2" x14ac:dyDescent="0.2">
      <c r="A1486" s="7" t="s">
        <v>670</v>
      </c>
      <c r="B1486" s="7" t="s">
        <v>314</v>
      </c>
    </row>
    <row r="1487" spans="1:2" x14ac:dyDescent="0.2">
      <c r="A1487" s="7" t="s">
        <v>668</v>
      </c>
      <c r="B1487" s="7" t="s">
        <v>13</v>
      </c>
    </row>
    <row r="1488" spans="1:2" x14ac:dyDescent="0.2">
      <c r="B1488" s="7" t="s">
        <v>289</v>
      </c>
    </row>
    <row r="1489" spans="1:2" x14ac:dyDescent="0.2">
      <c r="B1489" s="7" t="s">
        <v>301</v>
      </c>
    </row>
    <row r="1490" spans="1:2" x14ac:dyDescent="0.2">
      <c r="B1490" s="7" t="s">
        <v>610</v>
      </c>
    </row>
    <row r="1491" spans="1:2" x14ac:dyDescent="0.2">
      <c r="B1491" s="7" t="s">
        <v>154</v>
      </c>
    </row>
    <row r="1492" spans="1:2" x14ac:dyDescent="0.2">
      <c r="B1492" s="7" t="s">
        <v>282</v>
      </c>
    </row>
    <row r="1493" spans="1:2" x14ac:dyDescent="0.2">
      <c r="B1493" s="7" t="s">
        <v>275</v>
      </c>
    </row>
    <row r="1494" spans="1:2" x14ac:dyDescent="0.2">
      <c r="A1494" s="7" t="s">
        <v>619</v>
      </c>
      <c r="B1494" s="7" t="s">
        <v>170</v>
      </c>
    </row>
    <row r="1495" spans="1:2" x14ac:dyDescent="0.2">
      <c r="B1495" s="7" t="s">
        <v>135</v>
      </c>
    </row>
    <row r="1496" spans="1:2" x14ac:dyDescent="0.2">
      <c r="B1496" s="7" t="s">
        <v>172</v>
      </c>
    </row>
    <row r="1497" spans="1:2" x14ac:dyDescent="0.2">
      <c r="B1497" s="7" t="s">
        <v>175</v>
      </c>
    </row>
    <row r="1498" spans="1:2" x14ac:dyDescent="0.2">
      <c r="B1498" s="7" t="s">
        <v>177</v>
      </c>
    </row>
    <row r="1499" spans="1:2" x14ac:dyDescent="0.2">
      <c r="B1499" s="7" t="s">
        <v>181</v>
      </c>
    </row>
    <row r="1500" spans="1:2" x14ac:dyDescent="0.2">
      <c r="A1500" s="7" t="s">
        <v>688</v>
      </c>
      <c r="B1500" s="7" t="s">
        <v>233</v>
      </c>
    </row>
    <row r="1501" spans="1:2" x14ac:dyDescent="0.2">
      <c r="B1501" s="7" t="s">
        <v>4</v>
      </c>
    </row>
    <row r="1502" spans="1:2" x14ac:dyDescent="0.2">
      <c r="B1502" s="7" t="s">
        <v>285</v>
      </c>
    </row>
    <row r="1503" spans="1:2" x14ac:dyDescent="0.2">
      <c r="B1503" s="7" t="s">
        <v>410</v>
      </c>
    </row>
    <row r="1504" spans="1:2" x14ac:dyDescent="0.2">
      <c r="B1504" s="7" t="s">
        <v>129</v>
      </c>
    </row>
    <row r="1505" spans="2:2" x14ac:dyDescent="0.2">
      <c r="B1505" s="7" t="s">
        <v>431</v>
      </c>
    </row>
    <row r="1506" spans="2:2" x14ac:dyDescent="0.2">
      <c r="B1506" s="7" t="s">
        <v>16</v>
      </c>
    </row>
    <row r="1507" spans="2:2" x14ac:dyDescent="0.2">
      <c r="B1507" s="7" t="s">
        <v>464</v>
      </c>
    </row>
    <row r="1508" spans="2:2" x14ac:dyDescent="0.2">
      <c r="B1508" s="7" t="s">
        <v>138</v>
      </c>
    </row>
    <row r="1509" spans="2:2" x14ac:dyDescent="0.2">
      <c r="B1509" s="7" t="s">
        <v>297</v>
      </c>
    </row>
    <row r="1510" spans="2:2" x14ac:dyDescent="0.2">
      <c r="B1510" s="7" t="s">
        <v>466</v>
      </c>
    </row>
    <row r="1511" spans="2:2" x14ac:dyDescent="0.2">
      <c r="B1511" s="7" t="s">
        <v>299</v>
      </c>
    </row>
    <row r="1512" spans="2:2" x14ac:dyDescent="0.2">
      <c r="B1512" s="7" t="s">
        <v>191</v>
      </c>
    </row>
    <row r="1513" spans="2:2" x14ac:dyDescent="0.2">
      <c r="B1513" s="7" t="s">
        <v>304</v>
      </c>
    </row>
    <row r="1514" spans="2:2" x14ac:dyDescent="0.2">
      <c r="B1514" s="7" t="s">
        <v>310</v>
      </c>
    </row>
    <row r="1515" spans="2:2" x14ac:dyDescent="0.2">
      <c r="B1515" s="7" t="s">
        <v>545</v>
      </c>
    </row>
    <row r="1516" spans="2:2" x14ac:dyDescent="0.2">
      <c r="B1516" s="7" t="s">
        <v>351</v>
      </c>
    </row>
    <row r="1517" spans="2:2" x14ac:dyDescent="0.2">
      <c r="B1517" s="7" t="s">
        <v>316</v>
      </c>
    </row>
    <row r="1518" spans="2:2" x14ac:dyDescent="0.2">
      <c r="B1518" s="7" t="s">
        <v>178</v>
      </c>
    </row>
    <row r="1519" spans="2:2" x14ac:dyDescent="0.2">
      <c r="B1519" s="7" t="s">
        <v>686</v>
      </c>
    </row>
    <row r="1520" spans="2:2" x14ac:dyDescent="0.2">
      <c r="B1520" s="7" t="s">
        <v>471</v>
      </c>
    </row>
    <row r="1521" spans="1:2" x14ac:dyDescent="0.2">
      <c r="B1521" s="7" t="s">
        <v>264</v>
      </c>
    </row>
    <row r="1522" spans="1:2" x14ac:dyDescent="0.2">
      <c r="B1522" s="7" t="s">
        <v>81</v>
      </c>
    </row>
    <row r="1523" spans="1:2" x14ac:dyDescent="0.2">
      <c r="B1523" s="7" t="s">
        <v>375</v>
      </c>
    </row>
    <row r="1524" spans="1:2" x14ac:dyDescent="0.2">
      <c r="B1524" s="7" t="s">
        <v>382</v>
      </c>
    </row>
    <row r="1525" spans="1:2" x14ac:dyDescent="0.2">
      <c r="B1525" s="7" t="s">
        <v>276</v>
      </c>
    </row>
    <row r="1526" spans="1:2" x14ac:dyDescent="0.2">
      <c r="B1526" s="7" t="s">
        <v>405</v>
      </c>
    </row>
    <row r="1527" spans="1:2" x14ac:dyDescent="0.2">
      <c r="B1527" s="7" t="s">
        <v>131</v>
      </c>
    </row>
    <row r="1528" spans="1:2" x14ac:dyDescent="0.2">
      <c r="B1528" s="7" t="s">
        <v>122</v>
      </c>
    </row>
    <row r="1529" spans="1:2" x14ac:dyDescent="0.2">
      <c r="A1529" s="7" t="s">
        <v>689</v>
      </c>
      <c r="B1529" s="7" t="s">
        <v>236</v>
      </c>
    </row>
    <row r="1530" spans="1:2" x14ac:dyDescent="0.2">
      <c r="B1530" s="7" t="s">
        <v>124</v>
      </c>
    </row>
    <row r="1531" spans="1:2" x14ac:dyDescent="0.2">
      <c r="B1531" s="7" t="s">
        <v>408</v>
      </c>
    </row>
    <row r="1532" spans="1:2" x14ac:dyDescent="0.2">
      <c r="B1532" s="7" t="s">
        <v>281</v>
      </c>
    </row>
    <row r="1533" spans="1:2" x14ac:dyDescent="0.2">
      <c r="B1533" s="7" t="s">
        <v>103</v>
      </c>
    </row>
    <row r="1534" spans="1:2" x14ac:dyDescent="0.2">
      <c r="B1534" s="7" t="s">
        <v>237</v>
      </c>
    </row>
    <row r="1535" spans="1:2" x14ac:dyDescent="0.2">
      <c r="B1535" s="7" t="s">
        <v>283</v>
      </c>
    </row>
    <row r="1536" spans="1:2" x14ac:dyDescent="0.2">
      <c r="B1536" s="7" t="s">
        <v>359</v>
      </c>
    </row>
    <row r="1537" spans="2:2" x14ac:dyDescent="0.2">
      <c r="B1537" s="7" t="s">
        <v>187</v>
      </c>
    </row>
    <row r="1538" spans="2:2" x14ac:dyDescent="0.2">
      <c r="B1538" s="7" t="s">
        <v>258</v>
      </c>
    </row>
    <row r="1539" spans="2:2" x14ac:dyDescent="0.2">
      <c r="B1539" s="7" t="s">
        <v>127</v>
      </c>
    </row>
    <row r="1540" spans="2:2" x14ac:dyDescent="0.2">
      <c r="B1540" s="7" t="s">
        <v>287</v>
      </c>
    </row>
    <row r="1541" spans="2:2" x14ac:dyDescent="0.2">
      <c r="B1541" s="7" t="s">
        <v>106</v>
      </c>
    </row>
    <row r="1542" spans="2:2" x14ac:dyDescent="0.2">
      <c r="B1542" s="7" t="s">
        <v>486</v>
      </c>
    </row>
    <row r="1543" spans="2:2" x14ac:dyDescent="0.2">
      <c r="B1543" s="7" t="s">
        <v>291</v>
      </c>
    </row>
    <row r="1544" spans="2:2" x14ac:dyDescent="0.2">
      <c r="B1544" s="7" t="s">
        <v>211</v>
      </c>
    </row>
    <row r="1545" spans="2:2" x14ac:dyDescent="0.2">
      <c r="B1545" s="7" t="s">
        <v>532</v>
      </c>
    </row>
    <row r="1546" spans="2:2" x14ac:dyDescent="0.2">
      <c r="B1546" s="7" t="s">
        <v>431</v>
      </c>
    </row>
    <row r="1547" spans="2:2" x14ac:dyDescent="0.2">
      <c r="B1547" s="7" t="s">
        <v>238</v>
      </c>
    </row>
    <row r="1548" spans="2:2" x14ac:dyDescent="0.2">
      <c r="B1548" s="7" t="s">
        <v>536</v>
      </c>
    </row>
    <row r="1549" spans="2:2" x14ac:dyDescent="0.2">
      <c r="B1549" s="7" t="s">
        <v>133</v>
      </c>
    </row>
    <row r="1550" spans="2:2" x14ac:dyDescent="0.2">
      <c r="B1550" s="7" t="s">
        <v>378</v>
      </c>
    </row>
    <row r="1551" spans="2:2" x14ac:dyDescent="0.2">
      <c r="B1551" s="7" t="s">
        <v>18</v>
      </c>
    </row>
    <row r="1552" spans="2:2" x14ac:dyDescent="0.2">
      <c r="B1552" s="7" t="s">
        <v>338</v>
      </c>
    </row>
    <row r="1553" spans="2:2" x14ac:dyDescent="0.2">
      <c r="B1553" s="7" t="s">
        <v>241</v>
      </c>
    </row>
    <row r="1554" spans="2:2" x14ac:dyDescent="0.2">
      <c r="B1554" s="7" t="s">
        <v>533</v>
      </c>
    </row>
    <row r="1555" spans="2:2" x14ac:dyDescent="0.2">
      <c r="B1555" s="7" t="s">
        <v>135</v>
      </c>
    </row>
    <row r="1556" spans="2:2" x14ac:dyDescent="0.2">
      <c r="B1556" s="7" t="s">
        <v>243</v>
      </c>
    </row>
    <row r="1557" spans="2:2" x14ac:dyDescent="0.2">
      <c r="B1557" s="7" t="s">
        <v>240</v>
      </c>
    </row>
    <row r="1558" spans="2:2" x14ac:dyDescent="0.2">
      <c r="B1558" s="7" t="s">
        <v>27</v>
      </c>
    </row>
    <row r="1559" spans="2:2" x14ac:dyDescent="0.2">
      <c r="B1559" s="7" t="s">
        <v>246</v>
      </c>
    </row>
    <row r="1560" spans="2:2" x14ac:dyDescent="0.2">
      <c r="B1560" s="7" t="s">
        <v>634</v>
      </c>
    </row>
    <row r="1561" spans="2:2" x14ac:dyDescent="0.2">
      <c r="B1561" s="7" t="s">
        <v>541</v>
      </c>
    </row>
    <row r="1562" spans="2:2" x14ac:dyDescent="0.2">
      <c r="B1562" s="7" t="s">
        <v>247</v>
      </c>
    </row>
    <row r="1563" spans="2:2" x14ac:dyDescent="0.2">
      <c r="B1563" s="7" t="s">
        <v>142</v>
      </c>
    </row>
    <row r="1564" spans="2:2" x14ac:dyDescent="0.2">
      <c r="B1564" s="7" t="s">
        <v>193</v>
      </c>
    </row>
    <row r="1565" spans="2:2" x14ac:dyDescent="0.2">
      <c r="B1565" s="7" t="s">
        <v>564</v>
      </c>
    </row>
    <row r="1566" spans="2:2" x14ac:dyDescent="0.2">
      <c r="B1566" s="7" t="s">
        <v>449</v>
      </c>
    </row>
    <row r="1567" spans="2:2" x14ac:dyDescent="0.2">
      <c r="B1567" s="7" t="s">
        <v>194</v>
      </c>
    </row>
    <row r="1568" spans="2:2" x14ac:dyDescent="0.2">
      <c r="B1568" s="7" t="s">
        <v>195</v>
      </c>
    </row>
    <row r="1569" spans="2:2" x14ac:dyDescent="0.2">
      <c r="B1569" s="7" t="s">
        <v>36</v>
      </c>
    </row>
    <row r="1570" spans="2:2" x14ac:dyDescent="0.2">
      <c r="B1570" s="7" t="s">
        <v>379</v>
      </c>
    </row>
    <row r="1571" spans="2:2" x14ac:dyDescent="0.2">
      <c r="B1571" s="7" t="s">
        <v>451</v>
      </c>
    </row>
    <row r="1572" spans="2:2" x14ac:dyDescent="0.2">
      <c r="B1572" s="7" t="s">
        <v>380</v>
      </c>
    </row>
    <row r="1573" spans="2:2" x14ac:dyDescent="0.2">
      <c r="B1573" s="7" t="s">
        <v>198</v>
      </c>
    </row>
    <row r="1574" spans="2:2" x14ac:dyDescent="0.2">
      <c r="B1574" s="7" t="s">
        <v>311</v>
      </c>
    </row>
    <row r="1575" spans="2:2" x14ac:dyDescent="0.2">
      <c r="B1575" s="7" t="s">
        <v>199</v>
      </c>
    </row>
    <row r="1576" spans="2:2" x14ac:dyDescent="0.2">
      <c r="B1576" s="7" t="s">
        <v>220</v>
      </c>
    </row>
    <row r="1577" spans="2:2" x14ac:dyDescent="0.2">
      <c r="B1577" s="7" t="s">
        <v>351</v>
      </c>
    </row>
    <row r="1578" spans="2:2" x14ac:dyDescent="0.2">
      <c r="B1578" s="7" t="s">
        <v>200</v>
      </c>
    </row>
    <row r="1579" spans="2:2" x14ac:dyDescent="0.2">
      <c r="B1579" s="7" t="s">
        <v>259</v>
      </c>
    </row>
    <row r="1580" spans="2:2" x14ac:dyDescent="0.2">
      <c r="B1580" s="7" t="s">
        <v>52</v>
      </c>
    </row>
    <row r="1581" spans="2:2" x14ac:dyDescent="0.2">
      <c r="B1581" s="7" t="s">
        <v>686</v>
      </c>
    </row>
    <row r="1582" spans="2:2" x14ac:dyDescent="0.2">
      <c r="B1582" s="7" t="s">
        <v>454</v>
      </c>
    </row>
    <row r="1583" spans="2:2" x14ac:dyDescent="0.2">
      <c r="B1583" s="7" t="s">
        <v>223</v>
      </c>
    </row>
    <row r="1584" spans="2:2" x14ac:dyDescent="0.2">
      <c r="B1584" s="7" t="s">
        <v>337</v>
      </c>
    </row>
    <row r="1585" spans="2:2" x14ac:dyDescent="0.2">
      <c r="B1585" s="7" t="s">
        <v>468</v>
      </c>
    </row>
    <row r="1586" spans="2:2" x14ac:dyDescent="0.2">
      <c r="B1586" s="7" t="s">
        <v>300</v>
      </c>
    </row>
    <row r="1587" spans="2:2" x14ac:dyDescent="0.2">
      <c r="B1587" s="7" t="s">
        <v>215</v>
      </c>
    </row>
    <row r="1588" spans="2:2" x14ac:dyDescent="0.2">
      <c r="B1588" s="7" t="s">
        <v>55</v>
      </c>
    </row>
    <row r="1589" spans="2:2" x14ac:dyDescent="0.2">
      <c r="B1589" s="7" t="s">
        <v>109</v>
      </c>
    </row>
    <row r="1590" spans="2:2" x14ac:dyDescent="0.2">
      <c r="B1590" s="7" t="s">
        <v>262</v>
      </c>
    </row>
    <row r="1591" spans="2:2" x14ac:dyDescent="0.2">
      <c r="B1591" s="7" t="s">
        <v>653</v>
      </c>
    </row>
    <row r="1592" spans="2:2" x14ac:dyDescent="0.2">
      <c r="B1592" s="7" t="s">
        <v>367</v>
      </c>
    </row>
    <row r="1593" spans="2:2" x14ac:dyDescent="0.2">
      <c r="B1593" s="7" t="s">
        <v>306</v>
      </c>
    </row>
    <row r="1594" spans="2:2" x14ac:dyDescent="0.2">
      <c r="B1594" s="7" t="s">
        <v>282</v>
      </c>
    </row>
    <row r="1595" spans="2:2" x14ac:dyDescent="0.2">
      <c r="B1595" s="7" t="s">
        <v>70</v>
      </c>
    </row>
    <row r="1596" spans="2:2" x14ac:dyDescent="0.2">
      <c r="B1596" s="7" t="s">
        <v>114</v>
      </c>
    </row>
    <row r="1597" spans="2:2" x14ac:dyDescent="0.2">
      <c r="B1597" s="7" t="s">
        <v>529</v>
      </c>
    </row>
    <row r="1598" spans="2:2" x14ac:dyDescent="0.2">
      <c r="B1598" s="7" t="s">
        <v>375</v>
      </c>
    </row>
    <row r="1599" spans="2:2" x14ac:dyDescent="0.2">
      <c r="B1599" s="7" t="s">
        <v>83</v>
      </c>
    </row>
    <row r="1600" spans="2:2" x14ac:dyDescent="0.2">
      <c r="B1600" s="7" t="s">
        <v>90</v>
      </c>
    </row>
    <row r="1601" spans="2:2" x14ac:dyDescent="0.2">
      <c r="B1601" s="7" t="s">
        <v>117</v>
      </c>
    </row>
    <row r="1602" spans="2:2" x14ac:dyDescent="0.2">
      <c r="B1602" s="7" t="s">
        <v>202</v>
      </c>
    </row>
    <row r="1603" spans="2:2" x14ac:dyDescent="0.2">
      <c r="B1603" s="7" t="s">
        <v>270</v>
      </c>
    </row>
    <row r="1604" spans="2:2" x14ac:dyDescent="0.2">
      <c r="B1604" s="7" t="s">
        <v>382</v>
      </c>
    </row>
    <row r="1605" spans="2:2" x14ac:dyDescent="0.2">
      <c r="B1605" s="7" t="s">
        <v>383</v>
      </c>
    </row>
    <row r="1606" spans="2:2" x14ac:dyDescent="0.2">
      <c r="B1606" s="7" t="s">
        <v>272</v>
      </c>
    </row>
    <row r="1607" spans="2:2" x14ac:dyDescent="0.2">
      <c r="B1607" s="7" t="s">
        <v>376</v>
      </c>
    </row>
    <row r="1608" spans="2:2" x14ac:dyDescent="0.2">
      <c r="B1608" s="7" t="s">
        <v>97</v>
      </c>
    </row>
    <row r="1609" spans="2:2" x14ac:dyDescent="0.2">
      <c r="B1609" s="7" t="s">
        <v>328</v>
      </c>
    </row>
    <row r="1610" spans="2:2" x14ac:dyDescent="0.2">
      <c r="B1610" s="7" t="s">
        <v>163</v>
      </c>
    </row>
    <row r="1611" spans="2:2" x14ac:dyDescent="0.2">
      <c r="B1611" s="7" t="s">
        <v>331</v>
      </c>
    </row>
    <row r="1612" spans="2:2" x14ac:dyDescent="0.2">
      <c r="B1612" s="7" t="s">
        <v>669</v>
      </c>
    </row>
    <row r="1613" spans="2:2" x14ac:dyDescent="0.2">
      <c r="B1613" s="7" t="s">
        <v>649</v>
      </c>
    </row>
    <row r="1614" spans="2:2" x14ac:dyDescent="0.2">
      <c r="B1614" s="7" t="s">
        <v>277</v>
      </c>
    </row>
    <row r="1615" spans="2:2" x14ac:dyDescent="0.2">
      <c r="B1615" s="7" t="s">
        <v>595</v>
      </c>
    </row>
    <row r="1616" spans="2:2" x14ac:dyDescent="0.2">
      <c r="B1616" s="7" t="s">
        <v>333</v>
      </c>
    </row>
    <row r="1617" spans="1:2" x14ac:dyDescent="0.2">
      <c r="B1617" s="7" t="s">
        <v>508</v>
      </c>
    </row>
    <row r="1618" spans="1:2" x14ac:dyDescent="0.2">
      <c r="B1618" s="7" t="s">
        <v>370</v>
      </c>
    </row>
    <row r="1619" spans="1:2" x14ac:dyDescent="0.2">
      <c r="B1619" s="7" t="s">
        <v>275</v>
      </c>
    </row>
    <row r="1620" spans="1:2" x14ac:dyDescent="0.2">
      <c r="B1620" s="7" t="s">
        <v>101</v>
      </c>
    </row>
    <row r="1621" spans="1:2" x14ac:dyDescent="0.2">
      <c r="B1621" s="7" t="s">
        <v>530</v>
      </c>
    </row>
    <row r="1622" spans="1:2" x14ac:dyDescent="0.2">
      <c r="B1622" s="7" t="s">
        <v>120</v>
      </c>
    </row>
    <row r="1623" spans="1:2" x14ac:dyDescent="0.2">
      <c r="B1623" s="7" t="s">
        <v>334</v>
      </c>
    </row>
    <row r="1624" spans="1:2" x14ac:dyDescent="0.2">
      <c r="B1624" s="7" t="s">
        <v>276</v>
      </c>
    </row>
    <row r="1625" spans="1:2" x14ac:dyDescent="0.2">
      <c r="B1625" s="7" t="s">
        <v>102</v>
      </c>
    </row>
    <row r="1626" spans="1:2" x14ac:dyDescent="0.2">
      <c r="B1626" s="7" t="s">
        <v>405</v>
      </c>
    </row>
    <row r="1627" spans="1:2" x14ac:dyDescent="0.2">
      <c r="B1627" s="7" t="s">
        <v>346</v>
      </c>
    </row>
    <row r="1628" spans="1:2" x14ac:dyDescent="0.2">
      <c r="B1628" s="7" t="s">
        <v>613</v>
      </c>
    </row>
    <row r="1629" spans="1:2" x14ac:dyDescent="0.2">
      <c r="A1629" s="7" t="s">
        <v>336</v>
      </c>
      <c r="B1629" s="7" t="s">
        <v>233</v>
      </c>
    </row>
    <row r="1630" spans="1:2" x14ac:dyDescent="0.2">
      <c r="B1630" s="7" t="s">
        <v>20</v>
      </c>
    </row>
    <row r="1631" spans="1:2" x14ac:dyDescent="0.2">
      <c r="B1631" s="7" t="s">
        <v>169</v>
      </c>
    </row>
    <row r="1632" spans="1:2" x14ac:dyDescent="0.2">
      <c r="B1632" s="7" t="s">
        <v>338</v>
      </c>
    </row>
    <row r="1633" spans="2:2" x14ac:dyDescent="0.2">
      <c r="B1633" s="7" t="s">
        <v>25</v>
      </c>
    </row>
    <row r="1634" spans="2:2" x14ac:dyDescent="0.2">
      <c r="B1634" s="7" t="s">
        <v>41</v>
      </c>
    </row>
    <row r="1635" spans="2:2" x14ac:dyDescent="0.2">
      <c r="B1635" s="7" t="s">
        <v>141</v>
      </c>
    </row>
    <row r="1636" spans="2:2" x14ac:dyDescent="0.2">
      <c r="B1636" s="7" t="s">
        <v>199</v>
      </c>
    </row>
    <row r="1637" spans="2:2" x14ac:dyDescent="0.2">
      <c r="B1637" s="7" t="s">
        <v>174</v>
      </c>
    </row>
    <row r="1638" spans="2:2" x14ac:dyDescent="0.2">
      <c r="B1638" s="7" t="s">
        <v>340</v>
      </c>
    </row>
    <row r="1639" spans="2:2" x14ac:dyDescent="0.2">
      <c r="B1639" s="7" t="s">
        <v>200</v>
      </c>
    </row>
    <row r="1640" spans="2:2" x14ac:dyDescent="0.2">
      <c r="B1640" s="7" t="s">
        <v>317</v>
      </c>
    </row>
    <row r="1641" spans="2:2" x14ac:dyDescent="0.2">
      <c r="B1641" s="7" t="s">
        <v>341</v>
      </c>
    </row>
    <row r="1642" spans="2:2" x14ac:dyDescent="0.2">
      <c r="B1642" s="7" t="s">
        <v>260</v>
      </c>
    </row>
    <row r="1643" spans="2:2" x14ac:dyDescent="0.2">
      <c r="B1643" s="7" t="s">
        <v>224</v>
      </c>
    </row>
    <row r="1644" spans="2:2" x14ac:dyDescent="0.2">
      <c r="B1644" s="7" t="s">
        <v>343</v>
      </c>
    </row>
    <row r="1645" spans="2:2" x14ac:dyDescent="0.2">
      <c r="B1645" s="7" t="s">
        <v>344</v>
      </c>
    </row>
    <row r="1646" spans="2:2" x14ac:dyDescent="0.2">
      <c r="B1646" s="7" t="s">
        <v>89</v>
      </c>
    </row>
    <row r="1647" spans="2:2" x14ac:dyDescent="0.2">
      <c r="B1647" s="7" t="s">
        <v>91</v>
      </c>
    </row>
    <row r="1648" spans="2:2" x14ac:dyDescent="0.2">
      <c r="B1648" s="7" t="s">
        <v>326</v>
      </c>
    </row>
    <row r="1649" spans="1:2" x14ac:dyDescent="0.2">
      <c r="B1649" s="7" t="s">
        <v>227</v>
      </c>
    </row>
    <row r="1650" spans="1:2" x14ac:dyDescent="0.2">
      <c r="B1650" s="7" t="s">
        <v>328</v>
      </c>
    </row>
    <row r="1651" spans="1:2" x14ac:dyDescent="0.2">
      <c r="B1651" s="7" t="s">
        <v>228</v>
      </c>
    </row>
    <row r="1652" spans="1:2" x14ac:dyDescent="0.2">
      <c r="B1652" s="7" t="s">
        <v>346</v>
      </c>
    </row>
    <row r="1653" spans="1:2" x14ac:dyDescent="0.2">
      <c r="A1653" s="7" t="s">
        <v>166</v>
      </c>
      <c r="B1653" s="7" t="s">
        <v>164</v>
      </c>
    </row>
    <row r="1654" spans="1:2" x14ac:dyDescent="0.2">
      <c r="B1654" s="7" t="s">
        <v>20</v>
      </c>
    </row>
    <row r="1655" spans="1:2" x14ac:dyDescent="0.2">
      <c r="B1655" s="7" t="s">
        <v>169</v>
      </c>
    </row>
    <row r="1656" spans="1:2" x14ac:dyDescent="0.2">
      <c r="B1656" s="7" t="s">
        <v>170</v>
      </c>
    </row>
    <row r="1657" spans="1:2" x14ac:dyDescent="0.2">
      <c r="B1657" s="7" t="s">
        <v>172</v>
      </c>
    </row>
    <row r="1658" spans="1:2" x14ac:dyDescent="0.2">
      <c r="B1658" s="7" t="s">
        <v>141</v>
      </c>
    </row>
    <row r="1659" spans="1:2" x14ac:dyDescent="0.2">
      <c r="B1659" s="7" t="s">
        <v>174</v>
      </c>
    </row>
    <row r="1660" spans="1:2" x14ac:dyDescent="0.2">
      <c r="B1660" s="7" t="s">
        <v>175</v>
      </c>
    </row>
    <row r="1661" spans="1:2" x14ac:dyDescent="0.2">
      <c r="B1661" s="7" t="s">
        <v>177</v>
      </c>
    </row>
    <row r="1662" spans="1:2" x14ac:dyDescent="0.2">
      <c r="B1662" s="7" t="s">
        <v>178</v>
      </c>
    </row>
    <row r="1663" spans="1:2" x14ac:dyDescent="0.2">
      <c r="B1663" s="7" t="s">
        <v>180</v>
      </c>
    </row>
    <row r="1664" spans="1:2" x14ac:dyDescent="0.2">
      <c r="B1664" s="7" t="s">
        <v>181</v>
      </c>
    </row>
    <row r="1665" spans="1:2" x14ac:dyDescent="0.2">
      <c r="B1665" s="7" t="s">
        <v>182</v>
      </c>
    </row>
    <row r="1666" spans="1:2" x14ac:dyDescent="0.2">
      <c r="A1666" s="7" t="s">
        <v>624</v>
      </c>
      <c r="B1666" s="7" t="s">
        <v>164</v>
      </c>
    </row>
    <row r="1667" spans="1:2" x14ac:dyDescent="0.2">
      <c r="B1667" s="7" t="s">
        <v>189</v>
      </c>
    </row>
    <row r="1668" spans="1:2" x14ac:dyDescent="0.2">
      <c r="B1668" s="7" t="s">
        <v>210</v>
      </c>
    </row>
    <row r="1669" spans="1:2" x14ac:dyDescent="0.2">
      <c r="B1669" s="7" t="s">
        <v>190</v>
      </c>
    </row>
    <row r="1670" spans="1:2" x14ac:dyDescent="0.2">
      <c r="B1670" s="7" t="s">
        <v>310</v>
      </c>
    </row>
    <row r="1671" spans="1:2" x14ac:dyDescent="0.2">
      <c r="B1671" s="7" t="s">
        <v>108</v>
      </c>
    </row>
    <row r="1672" spans="1:2" x14ac:dyDescent="0.2">
      <c r="B1672" s="7" t="s">
        <v>266</v>
      </c>
    </row>
    <row r="1673" spans="1:2" x14ac:dyDescent="0.2">
      <c r="B1673" s="7" t="s">
        <v>204</v>
      </c>
    </row>
    <row r="1674" spans="1:2" x14ac:dyDescent="0.2">
      <c r="A1674" s="7" t="s">
        <v>5</v>
      </c>
      <c r="B1674" s="7" t="s">
        <v>4</v>
      </c>
    </row>
    <row r="1675" spans="1:2" x14ac:dyDescent="0.2">
      <c r="B1675" s="7" t="s">
        <v>7</v>
      </c>
    </row>
    <row r="1676" spans="1:2" x14ac:dyDescent="0.2">
      <c r="A1676" s="7" t="s">
        <v>666</v>
      </c>
      <c r="B1676" s="7" t="s">
        <v>350</v>
      </c>
    </row>
    <row r="1677" spans="1:2" x14ac:dyDescent="0.2">
      <c r="B1677" s="7" t="s">
        <v>667</v>
      </c>
    </row>
    <row r="1678" spans="1:2" x14ac:dyDescent="0.2">
      <c r="B1678" s="7" t="s">
        <v>85</v>
      </c>
    </row>
    <row r="1679" spans="1:2" x14ac:dyDescent="0.2">
      <c r="B1679" s="7" t="s">
        <v>88</v>
      </c>
    </row>
    <row r="1680" spans="1:2" x14ac:dyDescent="0.2">
      <c r="B1680" s="7" t="s">
        <v>94</v>
      </c>
    </row>
    <row r="1681" spans="1:2" x14ac:dyDescent="0.2">
      <c r="B1681" s="7" t="s">
        <v>534</v>
      </c>
    </row>
    <row r="1682" spans="1:2" x14ac:dyDescent="0.2">
      <c r="B1682" s="7" t="s">
        <v>271</v>
      </c>
    </row>
    <row r="1683" spans="1:2" x14ac:dyDescent="0.2">
      <c r="B1683" s="7" t="s">
        <v>328</v>
      </c>
    </row>
    <row r="1684" spans="1:2" x14ac:dyDescent="0.2">
      <c r="B1684" s="7" t="s">
        <v>204</v>
      </c>
    </row>
    <row r="1685" spans="1:2" x14ac:dyDescent="0.2">
      <c r="B1685" s="7" t="s">
        <v>145</v>
      </c>
    </row>
    <row r="1686" spans="1:2" x14ac:dyDescent="0.2">
      <c r="B1686" s="7" t="s">
        <v>102</v>
      </c>
    </row>
    <row r="1687" spans="1:2" x14ac:dyDescent="0.2">
      <c r="A1687" s="7" t="s">
        <v>637</v>
      </c>
      <c r="B1687" s="7" t="s">
        <v>471</v>
      </c>
    </row>
    <row r="1688" spans="1:2" x14ac:dyDescent="0.2">
      <c r="A1688" s="7" t="s">
        <v>638</v>
      </c>
      <c r="B1688" s="7" t="s">
        <v>471</v>
      </c>
    </row>
    <row r="1689" spans="1:2" x14ac:dyDescent="0.2">
      <c r="A1689" s="7" t="s">
        <v>691</v>
      </c>
      <c r="B1689" s="7" t="s">
        <v>233</v>
      </c>
    </row>
    <row r="1690" spans="1:2" x14ac:dyDescent="0.2">
      <c r="B1690" s="7" t="s">
        <v>683</v>
      </c>
    </row>
    <row r="1691" spans="1:2" x14ac:dyDescent="0.2">
      <c r="B1691" s="7" t="s">
        <v>183</v>
      </c>
    </row>
    <row r="1692" spans="1:2" x14ac:dyDescent="0.2">
      <c r="B1692" s="7" t="s">
        <v>408</v>
      </c>
    </row>
    <row r="1693" spans="1:2" x14ac:dyDescent="0.2">
      <c r="B1693" s="7" t="s">
        <v>127</v>
      </c>
    </row>
    <row r="1694" spans="1:2" x14ac:dyDescent="0.2">
      <c r="B1694" s="7" t="s">
        <v>209</v>
      </c>
    </row>
    <row r="1695" spans="1:2" x14ac:dyDescent="0.2">
      <c r="B1695" s="7" t="s">
        <v>11</v>
      </c>
    </row>
    <row r="1696" spans="1:2" x14ac:dyDescent="0.2">
      <c r="B1696" s="7" t="s">
        <v>188</v>
      </c>
    </row>
    <row r="1697" spans="2:2" x14ac:dyDescent="0.2">
      <c r="B1697" s="7" t="s">
        <v>4</v>
      </c>
    </row>
    <row r="1698" spans="2:2" x14ac:dyDescent="0.2">
      <c r="B1698" s="7" t="s">
        <v>285</v>
      </c>
    </row>
    <row r="1699" spans="2:2" x14ac:dyDescent="0.2">
      <c r="B1699" s="7" t="s">
        <v>286</v>
      </c>
    </row>
    <row r="1700" spans="2:2" x14ac:dyDescent="0.2">
      <c r="B1700" s="7" t="s">
        <v>410</v>
      </c>
    </row>
    <row r="1701" spans="2:2" x14ac:dyDescent="0.2">
      <c r="B1701" s="7" t="s">
        <v>210</v>
      </c>
    </row>
    <row r="1702" spans="2:2" x14ac:dyDescent="0.2">
      <c r="B1702" s="7" t="s">
        <v>129</v>
      </c>
    </row>
    <row r="1703" spans="2:2" x14ac:dyDescent="0.2">
      <c r="B1703" s="7" t="s">
        <v>287</v>
      </c>
    </row>
    <row r="1704" spans="2:2" x14ac:dyDescent="0.2">
      <c r="B1704" s="7" t="s">
        <v>211</v>
      </c>
    </row>
    <row r="1705" spans="2:2" x14ac:dyDescent="0.2">
      <c r="B1705" s="7" t="s">
        <v>532</v>
      </c>
    </row>
    <row r="1706" spans="2:2" x14ac:dyDescent="0.2">
      <c r="B1706" s="7" t="s">
        <v>388</v>
      </c>
    </row>
    <row r="1707" spans="2:2" x14ac:dyDescent="0.2">
      <c r="B1707" s="7" t="s">
        <v>292</v>
      </c>
    </row>
    <row r="1708" spans="2:2" x14ac:dyDescent="0.2">
      <c r="B1708" s="7" t="s">
        <v>293</v>
      </c>
    </row>
    <row r="1709" spans="2:2" x14ac:dyDescent="0.2">
      <c r="B1709" s="7" t="s">
        <v>212</v>
      </c>
    </row>
    <row r="1710" spans="2:2" x14ac:dyDescent="0.2">
      <c r="B1710" s="7" t="s">
        <v>296</v>
      </c>
    </row>
    <row r="1711" spans="2:2" x14ac:dyDescent="0.2">
      <c r="B1711" s="7" t="s">
        <v>138</v>
      </c>
    </row>
    <row r="1712" spans="2:2" x14ac:dyDescent="0.2">
      <c r="B1712" s="7" t="s">
        <v>214</v>
      </c>
    </row>
    <row r="1713" spans="2:2" x14ac:dyDescent="0.2">
      <c r="B1713" s="7" t="s">
        <v>22</v>
      </c>
    </row>
    <row r="1714" spans="2:2" x14ac:dyDescent="0.2">
      <c r="B1714" s="7" t="s">
        <v>135</v>
      </c>
    </row>
    <row r="1715" spans="2:2" x14ac:dyDescent="0.2">
      <c r="B1715" s="7" t="s">
        <v>218</v>
      </c>
    </row>
    <row r="1716" spans="2:2" x14ac:dyDescent="0.2">
      <c r="B1716" s="7" t="s">
        <v>298</v>
      </c>
    </row>
    <row r="1717" spans="2:2" x14ac:dyDescent="0.2">
      <c r="B1717" s="7" t="s">
        <v>243</v>
      </c>
    </row>
    <row r="1718" spans="2:2" x14ac:dyDescent="0.2">
      <c r="B1718" s="7" t="s">
        <v>516</v>
      </c>
    </row>
    <row r="1719" spans="2:2" x14ac:dyDescent="0.2">
      <c r="B1719" s="7" t="s">
        <v>217</v>
      </c>
    </row>
    <row r="1720" spans="2:2" x14ac:dyDescent="0.2">
      <c r="B1720" s="7" t="s">
        <v>250</v>
      </c>
    </row>
    <row r="1721" spans="2:2" x14ac:dyDescent="0.2">
      <c r="B1721" s="7" t="s">
        <v>655</v>
      </c>
    </row>
    <row r="1722" spans="2:2" x14ac:dyDescent="0.2">
      <c r="B1722" s="7" t="s">
        <v>667</v>
      </c>
    </row>
    <row r="1723" spans="2:2" x14ac:dyDescent="0.2">
      <c r="B1723" s="7" t="s">
        <v>451</v>
      </c>
    </row>
    <row r="1724" spans="2:2" x14ac:dyDescent="0.2">
      <c r="B1724" s="7" t="s">
        <v>604</v>
      </c>
    </row>
    <row r="1725" spans="2:2" x14ac:dyDescent="0.2">
      <c r="B1725" s="7" t="s">
        <v>305</v>
      </c>
    </row>
    <row r="1726" spans="2:2" x14ac:dyDescent="0.2">
      <c r="B1726" s="7" t="s">
        <v>255</v>
      </c>
    </row>
    <row r="1727" spans="2:2" x14ac:dyDescent="0.2">
      <c r="B1727" s="7" t="s">
        <v>41</v>
      </c>
    </row>
    <row r="1728" spans="2:2" x14ac:dyDescent="0.2">
      <c r="B1728" s="7" t="s">
        <v>49</v>
      </c>
    </row>
    <row r="1729" spans="2:2" x14ac:dyDescent="0.2">
      <c r="B1729" s="7" t="s">
        <v>308</v>
      </c>
    </row>
    <row r="1730" spans="2:2" x14ac:dyDescent="0.2">
      <c r="B1730" s="7" t="s">
        <v>393</v>
      </c>
    </row>
    <row r="1731" spans="2:2" x14ac:dyDescent="0.2">
      <c r="B1731" s="7" t="s">
        <v>313</v>
      </c>
    </row>
    <row r="1732" spans="2:2" x14ac:dyDescent="0.2">
      <c r="B1732" s="7" t="s">
        <v>314</v>
      </c>
    </row>
    <row r="1733" spans="2:2" x14ac:dyDescent="0.2">
      <c r="B1733" s="7" t="s">
        <v>222</v>
      </c>
    </row>
    <row r="1734" spans="2:2" x14ac:dyDescent="0.2">
      <c r="B1734" s="7" t="s">
        <v>351</v>
      </c>
    </row>
    <row r="1735" spans="2:2" x14ac:dyDescent="0.2">
      <c r="B1735" s="7" t="s">
        <v>417</v>
      </c>
    </row>
    <row r="1736" spans="2:2" x14ac:dyDescent="0.2">
      <c r="B1736" s="7" t="s">
        <v>177</v>
      </c>
    </row>
    <row r="1737" spans="2:2" x14ac:dyDescent="0.2">
      <c r="B1737" s="7" t="s">
        <v>317</v>
      </c>
    </row>
    <row r="1738" spans="2:2" x14ac:dyDescent="0.2">
      <c r="B1738" s="7" t="s">
        <v>366</v>
      </c>
    </row>
    <row r="1739" spans="2:2" x14ac:dyDescent="0.2">
      <c r="B1739" s="7" t="s">
        <v>337</v>
      </c>
    </row>
    <row r="1740" spans="2:2" x14ac:dyDescent="0.2">
      <c r="B1740" s="7" t="s">
        <v>468</v>
      </c>
    </row>
    <row r="1741" spans="2:2" x14ac:dyDescent="0.2">
      <c r="B1741" s="7" t="s">
        <v>154</v>
      </c>
    </row>
    <row r="1742" spans="2:2" x14ac:dyDescent="0.2">
      <c r="B1742" s="7" t="s">
        <v>261</v>
      </c>
    </row>
    <row r="1743" spans="2:2" x14ac:dyDescent="0.2">
      <c r="B1743" s="7" t="s">
        <v>262</v>
      </c>
    </row>
    <row r="1744" spans="2:2" x14ac:dyDescent="0.2">
      <c r="B1744" s="7" t="s">
        <v>111</v>
      </c>
    </row>
    <row r="1745" spans="2:2" x14ac:dyDescent="0.2">
      <c r="B1745" s="7" t="s">
        <v>59</v>
      </c>
    </row>
    <row r="1746" spans="2:2" x14ac:dyDescent="0.2">
      <c r="B1746" s="7" t="s">
        <v>390</v>
      </c>
    </row>
    <row r="1747" spans="2:2" x14ac:dyDescent="0.2">
      <c r="B1747" s="7" t="s">
        <v>501</v>
      </c>
    </row>
    <row r="1748" spans="2:2" x14ac:dyDescent="0.2">
      <c r="B1748" s="7" t="s">
        <v>67</v>
      </c>
    </row>
    <row r="1749" spans="2:2" x14ac:dyDescent="0.2">
      <c r="B1749" s="7" t="s">
        <v>201</v>
      </c>
    </row>
    <row r="1750" spans="2:2" x14ac:dyDescent="0.2">
      <c r="B1750" s="7" t="s">
        <v>343</v>
      </c>
    </row>
    <row r="1751" spans="2:2" x14ac:dyDescent="0.2">
      <c r="B1751" s="7" t="s">
        <v>70</v>
      </c>
    </row>
    <row r="1752" spans="2:2" x14ac:dyDescent="0.2">
      <c r="B1752" s="7" t="s">
        <v>72</v>
      </c>
    </row>
    <row r="1753" spans="2:2" x14ac:dyDescent="0.2">
      <c r="B1753" s="7" t="s">
        <v>265</v>
      </c>
    </row>
    <row r="1754" spans="2:2" x14ac:dyDescent="0.2">
      <c r="B1754" s="7" t="s">
        <v>226</v>
      </c>
    </row>
    <row r="1755" spans="2:2" x14ac:dyDescent="0.2">
      <c r="B1755" s="7" t="s">
        <v>267</v>
      </c>
    </row>
    <row r="1756" spans="2:2" x14ac:dyDescent="0.2">
      <c r="B1756" s="7" t="s">
        <v>75</v>
      </c>
    </row>
    <row r="1757" spans="2:2" x14ac:dyDescent="0.2">
      <c r="B1757" s="7" t="s">
        <v>529</v>
      </c>
    </row>
    <row r="1758" spans="2:2" x14ac:dyDescent="0.2">
      <c r="B1758" s="7" t="s">
        <v>375</v>
      </c>
    </row>
    <row r="1759" spans="2:2" x14ac:dyDescent="0.2">
      <c r="B1759" s="7" t="s">
        <v>391</v>
      </c>
    </row>
    <row r="1760" spans="2:2" x14ac:dyDescent="0.2">
      <c r="B1760" s="7" t="s">
        <v>84</v>
      </c>
    </row>
    <row r="1761" spans="2:2" x14ac:dyDescent="0.2">
      <c r="B1761" s="7" t="s">
        <v>87</v>
      </c>
    </row>
    <row r="1762" spans="2:2" x14ac:dyDescent="0.2">
      <c r="B1762" s="7" t="s">
        <v>89</v>
      </c>
    </row>
    <row r="1763" spans="2:2" x14ac:dyDescent="0.2">
      <c r="B1763" s="7" t="s">
        <v>90</v>
      </c>
    </row>
    <row r="1764" spans="2:2" x14ac:dyDescent="0.2">
      <c r="B1764" s="7" t="s">
        <v>91</v>
      </c>
    </row>
    <row r="1765" spans="2:2" x14ac:dyDescent="0.2">
      <c r="B1765" s="7" t="s">
        <v>92</v>
      </c>
    </row>
    <row r="1766" spans="2:2" x14ac:dyDescent="0.2">
      <c r="B1766" s="7" t="s">
        <v>94</v>
      </c>
    </row>
    <row r="1767" spans="2:2" x14ac:dyDescent="0.2">
      <c r="B1767" s="7" t="s">
        <v>326</v>
      </c>
    </row>
    <row r="1768" spans="2:2" x14ac:dyDescent="0.2">
      <c r="B1768" s="7" t="s">
        <v>227</v>
      </c>
    </row>
    <row r="1769" spans="2:2" x14ac:dyDescent="0.2">
      <c r="B1769" s="7" t="s">
        <v>270</v>
      </c>
    </row>
    <row r="1770" spans="2:2" x14ac:dyDescent="0.2">
      <c r="B1770" s="7" t="s">
        <v>355</v>
      </c>
    </row>
    <row r="1771" spans="2:2" x14ac:dyDescent="0.2">
      <c r="B1771" s="7" t="s">
        <v>368</v>
      </c>
    </row>
    <row r="1772" spans="2:2" x14ac:dyDescent="0.2">
      <c r="B1772" s="7" t="s">
        <v>273</v>
      </c>
    </row>
    <row r="1773" spans="2:2" x14ac:dyDescent="0.2">
      <c r="B1773" s="7" t="s">
        <v>97</v>
      </c>
    </row>
    <row r="1774" spans="2:2" x14ac:dyDescent="0.2">
      <c r="B1774" s="7" t="s">
        <v>328</v>
      </c>
    </row>
    <row r="1775" spans="2:2" x14ac:dyDescent="0.2">
      <c r="B1775" s="7" t="s">
        <v>334</v>
      </c>
    </row>
    <row r="1776" spans="2:2" x14ac:dyDescent="0.2">
      <c r="B1776" s="7" t="s">
        <v>181</v>
      </c>
    </row>
    <row r="1777" spans="1:2" x14ac:dyDescent="0.2">
      <c r="B1777" s="7" t="s">
        <v>405</v>
      </c>
    </row>
    <row r="1778" spans="1:2" x14ac:dyDescent="0.2">
      <c r="B1778" s="7" t="s">
        <v>182</v>
      </c>
    </row>
    <row r="1779" spans="1:2" x14ac:dyDescent="0.2">
      <c r="A1779" s="7" t="s">
        <v>693</v>
      </c>
      <c r="B1779" s="7" t="s">
        <v>205</v>
      </c>
    </row>
    <row r="1780" spans="1:2" x14ac:dyDescent="0.2">
      <c r="B1780" s="7" t="s">
        <v>8</v>
      </c>
    </row>
    <row r="1781" spans="1:2" x14ac:dyDescent="0.2">
      <c r="B1781" s="7" t="s">
        <v>237</v>
      </c>
    </row>
    <row r="1782" spans="1:2" x14ac:dyDescent="0.2">
      <c r="B1782" s="7" t="s">
        <v>185</v>
      </c>
    </row>
    <row r="1783" spans="1:2" x14ac:dyDescent="0.2">
      <c r="B1783" s="7" t="s">
        <v>283</v>
      </c>
    </row>
    <row r="1784" spans="1:2" x14ac:dyDescent="0.2">
      <c r="B1784" s="7" t="s">
        <v>187</v>
      </c>
    </row>
    <row r="1785" spans="1:2" x14ac:dyDescent="0.2">
      <c r="B1785" s="7" t="s">
        <v>258</v>
      </c>
    </row>
    <row r="1786" spans="1:2" x14ac:dyDescent="0.2">
      <c r="B1786" s="7" t="s">
        <v>284</v>
      </c>
    </row>
    <row r="1787" spans="1:2" x14ac:dyDescent="0.2">
      <c r="B1787" s="7" t="s">
        <v>288</v>
      </c>
    </row>
    <row r="1788" spans="1:2" x14ac:dyDescent="0.2">
      <c r="B1788" s="7" t="s">
        <v>374</v>
      </c>
    </row>
    <row r="1789" spans="1:2" x14ac:dyDescent="0.2">
      <c r="B1789" s="7" t="s">
        <v>239</v>
      </c>
    </row>
    <row r="1790" spans="1:2" x14ac:dyDescent="0.2">
      <c r="B1790" s="7" t="s">
        <v>464</v>
      </c>
    </row>
    <row r="1791" spans="1:2" x14ac:dyDescent="0.2">
      <c r="B1791" s="7" t="s">
        <v>378</v>
      </c>
    </row>
    <row r="1792" spans="1:2" x14ac:dyDescent="0.2">
      <c r="B1792" s="7" t="s">
        <v>338</v>
      </c>
    </row>
    <row r="1793" spans="2:2" x14ac:dyDescent="0.2">
      <c r="B1793" s="7" t="s">
        <v>676</v>
      </c>
    </row>
    <row r="1794" spans="2:2" x14ac:dyDescent="0.2">
      <c r="B1794" s="7" t="s">
        <v>135</v>
      </c>
    </row>
    <row r="1795" spans="2:2" x14ac:dyDescent="0.2">
      <c r="B1795" s="7" t="s">
        <v>172</v>
      </c>
    </row>
    <row r="1796" spans="2:2" x14ac:dyDescent="0.2">
      <c r="B1796" s="7" t="s">
        <v>244</v>
      </c>
    </row>
    <row r="1797" spans="2:2" x14ac:dyDescent="0.2">
      <c r="B1797" s="7" t="s">
        <v>139</v>
      </c>
    </row>
    <row r="1798" spans="2:2" x14ac:dyDescent="0.2">
      <c r="B1798" s="7" t="s">
        <v>27</v>
      </c>
    </row>
    <row r="1799" spans="2:2" x14ac:dyDescent="0.2">
      <c r="B1799" s="7" t="s">
        <v>299</v>
      </c>
    </row>
    <row r="1800" spans="2:2" x14ac:dyDescent="0.2">
      <c r="B1800" s="7" t="s">
        <v>249</v>
      </c>
    </row>
    <row r="1801" spans="2:2" x14ac:dyDescent="0.2">
      <c r="B1801" s="7" t="s">
        <v>7</v>
      </c>
    </row>
    <row r="1802" spans="2:2" x14ac:dyDescent="0.2">
      <c r="B1802" s="7" t="s">
        <v>302</v>
      </c>
    </row>
    <row r="1803" spans="2:2" x14ac:dyDescent="0.2">
      <c r="B1803" s="7" t="s">
        <v>33</v>
      </c>
    </row>
    <row r="1804" spans="2:2" x14ac:dyDescent="0.2">
      <c r="B1804" s="7" t="s">
        <v>251</v>
      </c>
    </row>
    <row r="1805" spans="2:2" x14ac:dyDescent="0.2">
      <c r="B1805" s="7" t="s">
        <v>146</v>
      </c>
    </row>
    <row r="1806" spans="2:2" x14ac:dyDescent="0.2">
      <c r="B1806" s="7" t="s">
        <v>303</v>
      </c>
    </row>
    <row r="1807" spans="2:2" x14ac:dyDescent="0.2">
      <c r="B1807" s="7" t="s">
        <v>542</v>
      </c>
    </row>
    <row r="1808" spans="2:2" x14ac:dyDescent="0.2">
      <c r="B1808" s="7" t="s">
        <v>128</v>
      </c>
    </row>
    <row r="1809" spans="2:2" x14ac:dyDescent="0.2">
      <c r="B1809" s="7" t="s">
        <v>196</v>
      </c>
    </row>
    <row r="1810" spans="2:2" x14ac:dyDescent="0.2">
      <c r="B1810" s="7" t="s">
        <v>46</v>
      </c>
    </row>
    <row r="1811" spans="2:2" x14ac:dyDescent="0.2">
      <c r="B1811" s="7" t="s">
        <v>141</v>
      </c>
    </row>
    <row r="1812" spans="2:2" x14ac:dyDescent="0.2">
      <c r="B1812" s="7" t="s">
        <v>199</v>
      </c>
    </row>
    <row r="1813" spans="2:2" x14ac:dyDescent="0.2">
      <c r="B1813" s="7" t="s">
        <v>137</v>
      </c>
    </row>
    <row r="1814" spans="2:2" x14ac:dyDescent="0.2">
      <c r="B1814" s="7" t="s">
        <v>340</v>
      </c>
    </row>
    <row r="1815" spans="2:2" x14ac:dyDescent="0.2">
      <c r="B1815" s="7" t="s">
        <v>545</v>
      </c>
    </row>
    <row r="1816" spans="2:2" x14ac:dyDescent="0.2">
      <c r="B1816" s="7" t="s">
        <v>521</v>
      </c>
    </row>
    <row r="1817" spans="2:2" x14ac:dyDescent="0.2">
      <c r="B1817" s="7" t="s">
        <v>200</v>
      </c>
    </row>
    <row r="1818" spans="2:2" x14ac:dyDescent="0.2">
      <c r="B1818" s="7" t="s">
        <v>52</v>
      </c>
    </row>
    <row r="1819" spans="2:2" x14ac:dyDescent="0.2">
      <c r="B1819" s="7" t="s">
        <v>686</v>
      </c>
    </row>
    <row r="1820" spans="2:2" x14ac:dyDescent="0.2">
      <c r="B1820" s="7" t="s">
        <v>398</v>
      </c>
    </row>
    <row r="1821" spans="2:2" x14ac:dyDescent="0.2">
      <c r="B1821" s="7" t="s">
        <v>419</v>
      </c>
    </row>
    <row r="1822" spans="2:2" x14ac:dyDescent="0.2">
      <c r="B1822" s="7" t="s">
        <v>180</v>
      </c>
    </row>
    <row r="1823" spans="2:2" x14ac:dyDescent="0.2">
      <c r="B1823" s="7" t="s">
        <v>300</v>
      </c>
    </row>
    <row r="1824" spans="2:2" x14ac:dyDescent="0.2">
      <c r="B1824" s="7" t="s">
        <v>215</v>
      </c>
    </row>
    <row r="1825" spans="2:2" x14ac:dyDescent="0.2">
      <c r="B1825" s="7" t="s">
        <v>134</v>
      </c>
    </row>
    <row r="1826" spans="2:2" x14ac:dyDescent="0.2">
      <c r="B1826" s="7" t="s">
        <v>150</v>
      </c>
    </row>
    <row r="1827" spans="2:2" x14ac:dyDescent="0.2">
      <c r="B1827" s="7" t="s">
        <v>55</v>
      </c>
    </row>
    <row r="1828" spans="2:2" x14ac:dyDescent="0.2">
      <c r="B1828" s="7" t="s">
        <v>318</v>
      </c>
    </row>
    <row r="1829" spans="2:2" x14ac:dyDescent="0.2">
      <c r="B1829" s="7" t="s">
        <v>224</v>
      </c>
    </row>
    <row r="1830" spans="2:2" x14ac:dyDescent="0.2">
      <c r="B1830" s="7" t="s">
        <v>353</v>
      </c>
    </row>
    <row r="1831" spans="2:2" x14ac:dyDescent="0.2">
      <c r="B1831" s="7" t="s">
        <v>263</v>
      </c>
    </row>
    <row r="1832" spans="2:2" x14ac:dyDescent="0.2">
      <c r="B1832" s="7" t="s">
        <v>616</v>
      </c>
    </row>
    <row r="1833" spans="2:2" x14ac:dyDescent="0.2">
      <c r="B1833" s="7" t="s">
        <v>232</v>
      </c>
    </row>
    <row r="1834" spans="2:2" x14ac:dyDescent="0.2">
      <c r="B1834" s="7" t="s">
        <v>321</v>
      </c>
    </row>
    <row r="1835" spans="2:2" x14ac:dyDescent="0.2">
      <c r="B1835" s="7" t="s">
        <v>343</v>
      </c>
    </row>
    <row r="1836" spans="2:2" x14ac:dyDescent="0.2">
      <c r="B1836" s="7" t="s">
        <v>72</v>
      </c>
    </row>
    <row r="1837" spans="2:2" x14ac:dyDescent="0.2">
      <c r="B1837" s="7" t="s">
        <v>400</v>
      </c>
    </row>
    <row r="1838" spans="2:2" x14ac:dyDescent="0.2">
      <c r="B1838" s="7" t="s">
        <v>268</v>
      </c>
    </row>
    <row r="1839" spans="2:2" x14ac:dyDescent="0.2">
      <c r="B1839" s="7" t="s">
        <v>81</v>
      </c>
    </row>
    <row r="1840" spans="2:2" x14ac:dyDescent="0.2">
      <c r="B1840" s="7" t="s">
        <v>92</v>
      </c>
    </row>
    <row r="1841" spans="2:2" x14ac:dyDescent="0.2">
      <c r="B1841" s="7" t="s">
        <v>202</v>
      </c>
    </row>
    <row r="1842" spans="2:2" x14ac:dyDescent="0.2">
      <c r="B1842" s="7" t="s">
        <v>534</v>
      </c>
    </row>
    <row r="1843" spans="2:2" x14ac:dyDescent="0.2">
      <c r="B1843" s="7" t="s">
        <v>269</v>
      </c>
    </row>
    <row r="1844" spans="2:2" x14ac:dyDescent="0.2">
      <c r="B1844" s="7" t="s">
        <v>161</v>
      </c>
    </row>
    <row r="1845" spans="2:2" x14ac:dyDescent="0.2">
      <c r="B1845" s="7" t="s">
        <v>376</v>
      </c>
    </row>
    <row r="1846" spans="2:2" x14ac:dyDescent="0.2">
      <c r="B1846" s="7" t="s">
        <v>330</v>
      </c>
    </row>
    <row r="1847" spans="2:2" x14ac:dyDescent="0.2">
      <c r="B1847" s="7" t="s">
        <v>228</v>
      </c>
    </row>
    <row r="1848" spans="2:2" x14ac:dyDescent="0.2">
      <c r="B1848" s="7" t="s">
        <v>99</v>
      </c>
    </row>
    <row r="1849" spans="2:2" x14ac:dyDescent="0.2">
      <c r="B1849" s="7" t="s">
        <v>119</v>
      </c>
    </row>
    <row r="1850" spans="2:2" x14ac:dyDescent="0.2">
      <c r="B1850" s="7" t="s">
        <v>275</v>
      </c>
    </row>
    <row r="1851" spans="2:2" x14ac:dyDescent="0.2">
      <c r="B1851" s="7" t="s">
        <v>530</v>
      </c>
    </row>
    <row r="1852" spans="2:2" x14ac:dyDescent="0.2">
      <c r="B1852" s="7" t="s">
        <v>120</v>
      </c>
    </row>
    <row r="1853" spans="2:2" x14ac:dyDescent="0.2">
      <c r="B1853" s="7" t="s">
        <v>181</v>
      </c>
    </row>
    <row r="1854" spans="2:2" x14ac:dyDescent="0.2">
      <c r="B1854" s="7" t="s">
        <v>204</v>
      </c>
    </row>
    <row r="1855" spans="2:2" x14ac:dyDescent="0.2">
      <c r="B1855" s="7" t="s">
        <v>145</v>
      </c>
    </row>
    <row r="1856" spans="2:2" x14ac:dyDescent="0.2">
      <c r="B1856" s="7" t="s">
        <v>346</v>
      </c>
    </row>
    <row r="1857" spans="1:2" x14ac:dyDescent="0.2">
      <c r="A1857" s="7" t="s">
        <v>694</v>
      </c>
      <c r="B1857" s="7" t="s">
        <v>207</v>
      </c>
    </row>
    <row r="1858" spans="1:2" x14ac:dyDescent="0.2">
      <c r="B1858" s="7" t="s">
        <v>278</v>
      </c>
    </row>
    <row r="1859" spans="1:2" x14ac:dyDescent="0.2">
      <c r="B1859" s="7" t="s">
        <v>124</v>
      </c>
    </row>
    <row r="1860" spans="1:2" x14ac:dyDescent="0.2">
      <c r="B1860" s="7" t="s">
        <v>10</v>
      </c>
    </row>
    <row r="1861" spans="1:2" x14ac:dyDescent="0.2">
      <c r="B1861" s="7" t="s">
        <v>186</v>
      </c>
    </row>
    <row r="1862" spans="1:2" x14ac:dyDescent="0.2">
      <c r="B1862" s="7" t="s">
        <v>646</v>
      </c>
    </row>
    <row r="1863" spans="1:2" x14ac:dyDescent="0.2">
      <c r="B1863" s="7" t="s">
        <v>671</v>
      </c>
    </row>
    <row r="1864" spans="1:2" x14ac:dyDescent="0.2">
      <c r="B1864" s="7" t="s">
        <v>13</v>
      </c>
    </row>
    <row r="1865" spans="1:2" x14ac:dyDescent="0.2">
      <c r="B1865" s="7" t="s">
        <v>289</v>
      </c>
    </row>
    <row r="1866" spans="1:2" x14ac:dyDescent="0.2">
      <c r="B1866" s="7" t="s">
        <v>14</v>
      </c>
    </row>
    <row r="1867" spans="1:2" x14ac:dyDescent="0.2">
      <c r="B1867" s="7" t="s">
        <v>106</v>
      </c>
    </row>
    <row r="1868" spans="1:2" x14ac:dyDescent="0.2">
      <c r="B1868" s="7" t="s">
        <v>431</v>
      </c>
    </row>
    <row r="1869" spans="1:2" x14ac:dyDescent="0.2">
      <c r="B1869" s="7" t="s">
        <v>294</v>
      </c>
    </row>
    <row r="1870" spans="1:2" x14ac:dyDescent="0.2">
      <c r="B1870" s="7" t="s">
        <v>295</v>
      </c>
    </row>
    <row r="1871" spans="1:2" x14ac:dyDescent="0.2">
      <c r="B1871" s="7" t="s">
        <v>133</v>
      </c>
    </row>
    <row r="1872" spans="1:2" x14ac:dyDescent="0.2">
      <c r="B1872" s="7" t="s">
        <v>297</v>
      </c>
    </row>
    <row r="1873" spans="2:2" x14ac:dyDescent="0.2">
      <c r="B1873" s="7" t="s">
        <v>170</v>
      </c>
    </row>
    <row r="1874" spans="2:2" x14ac:dyDescent="0.2">
      <c r="B1874" s="7" t="s">
        <v>216</v>
      </c>
    </row>
    <row r="1875" spans="2:2" x14ac:dyDescent="0.2">
      <c r="B1875" s="7" t="s">
        <v>244</v>
      </c>
    </row>
    <row r="1876" spans="2:2" x14ac:dyDescent="0.2">
      <c r="B1876" s="7" t="s">
        <v>246</v>
      </c>
    </row>
    <row r="1877" spans="2:2" x14ac:dyDescent="0.2">
      <c r="B1877" s="7" t="s">
        <v>247</v>
      </c>
    </row>
    <row r="1878" spans="2:2" x14ac:dyDescent="0.2">
      <c r="B1878" s="7" t="s">
        <v>643</v>
      </c>
    </row>
    <row r="1879" spans="2:2" x14ac:dyDescent="0.2">
      <c r="B1879" s="7" t="s">
        <v>113</v>
      </c>
    </row>
    <row r="1880" spans="2:2" x14ac:dyDescent="0.2">
      <c r="B1880" s="7" t="s">
        <v>191</v>
      </c>
    </row>
    <row r="1881" spans="2:2" x14ac:dyDescent="0.2">
      <c r="B1881" s="7" t="s">
        <v>492</v>
      </c>
    </row>
    <row r="1882" spans="2:2" x14ac:dyDescent="0.2">
      <c r="B1882" s="7" t="s">
        <v>564</v>
      </c>
    </row>
    <row r="1883" spans="2:2" x14ac:dyDescent="0.2">
      <c r="B1883" s="7" t="s">
        <v>301</v>
      </c>
    </row>
    <row r="1884" spans="2:2" x14ac:dyDescent="0.2">
      <c r="B1884" s="7" t="s">
        <v>253</v>
      </c>
    </row>
    <row r="1885" spans="2:2" x14ac:dyDescent="0.2">
      <c r="B1885" s="7" t="s">
        <v>254</v>
      </c>
    </row>
    <row r="1886" spans="2:2" x14ac:dyDescent="0.2">
      <c r="B1886" s="7" t="s">
        <v>304</v>
      </c>
    </row>
    <row r="1887" spans="2:2" x14ac:dyDescent="0.2">
      <c r="B1887" s="7" t="s">
        <v>229</v>
      </c>
    </row>
    <row r="1888" spans="2:2" x14ac:dyDescent="0.2">
      <c r="B1888" s="7" t="s">
        <v>256</v>
      </c>
    </row>
    <row r="1889" spans="2:2" x14ac:dyDescent="0.2">
      <c r="B1889" s="7" t="s">
        <v>38</v>
      </c>
    </row>
    <row r="1890" spans="2:2" x14ac:dyDescent="0.2">
      <c r="B1890" s="7" t="s">
        <v>43</v>
      </c>
    </row>
    <row r="1891" spans="2:2" x14ac:dyDescent="0.2">
      <c r="B1891" s="7" t="s">
        <v>198</v>
      </c>
    </row>
    <row r="1892" spans="2:2" x14ac:dyDescent="0.2">
      <c r="B1892" s="7" t="s">
        <v>363</v>
      </c>
    </row>
    <row r="1893" spans="2:2" x14ac:dyDescent="0.2">
      <c r="B1893" s="7" t="s">
        <v>149</v>
      </c>
    </row>
    <row r="1894" spans="2:2" x14ac:dyDescent="0.2">
      <c r="B1894" s="7" t="s">
        <v>221</v>
      </c>
    </row>
    <row r="1895" spans="2:2" x14ac:dyDescent="0.2">
      <c r="B1895" s="7" t="s">
        <v>316</v>
      </c>
    </row>
    <row r="1896" spans="2:2" x14ac:dyDescent="0.2">
      <c r="B1896" s="7" t="s">
        <v>259</v>
      </c>
    </row>
    <row r="1897" spans="2:2" x14ac:dyDescent="0.2">
      <c r="B1897" s="7" t="s">
        <v>178</v>
      </c>
    </row>
    <row r="1898" spans="2:2" x14ac:dyDescent="0.2">
      <c r="B1898" s="7" t="s">
        <v>610</v>
      </c>
    </row>
    <row r="1899" spans="2:2" x14ac:dyDescent="0.2">
      <c r="B1899" s="7" t="s">
        <v>611</v>
      </c>
    </row>
    <row r="1900" spans="2:2" x14ac:dyDescent="0.2">
      <c r="B1900" s="7" t="s">
        <v>260</v>
      </c>
    </row>
    <row r="1901" spans="2:2" x14ac:dyDescent="0.2">
      <c r="B1901" s="7" t="s">
        <v>108</v>
      </c>
    </row>
    <row r="1902" spans="2:2" x14ac:dyDescent="0.2">
      <c r="B1902" s="7" t="s">
        <v>632</v>
      </c>
    </row>
    <row r="1903" spans="2:2" x14ac:dyDescent="0.2">
      <c r="B1903" s="7" t="s">
        <v>264</v>
      </c>
    </row>
    <row r="1904" spans="2:2" x14ac:dyDescent="0.2">
      <c r="B1904" s="7" t="s">
        <v>158</v>
      </c>
    </row>
    <row r="1905" spans="1:2" x14ac:dyDescent="0.2">
      <c r="B1905" s="7" t="s">
        <v>266</v>
      </c>
    </row>
    <row r="1906" spans="1:2" x14ac:dyDescent="0.2">
      <c r="B1906" s="7" t="s">
        <v>78</v>
      </c>
    </row>
    <row r="1907" spans="1:2" x14ac:dyDescent="0.2">
      <c r="B1907" s="7" t="s">
        <v>160</v>
      </c>
    </row>
    <row r="1908" spans="1:2" x14ac:dyDescent="0.2">
      <c r="B1908" s="7" t="s">
        <v>117</v>
      </c>
    </row>
    <row r="1909" spans="1:2" x14ac:dyDescent="0.2">
      <c r="B1909" s="7" t="s">
        <v>271</v>
      </c>
    </row>
    <row r="1910" spans="1:2" x14ac:dyDescent="0.2">
      <c r="B1910" s="7" t="s">
        <v>272</v>
      </c>
    </row>
    <row r="1911" spans="1:2" x14ac:dyDescent="0.2">
      <c r="B1911" s="7" t="s">
        <v>208</v>
      </c>
    </row>
    <row r="1912" spans="1:2" x14ac:dyDescent="0.2">
      <c r="B1912" s="7" t="s">
        <v>277</v>
      </c>
    </row>
    <row r="1913" spans="1:2" x14ac:dyDescent="0.2">
      <c r="B1913" s="7" t="s">
        <v>231</v>
      </c>
    </row>
    <row r="1914" spans="1:2" x14ac:dyDescent="0.2">
      <c r="B1914" s="7" t="s">
        <v>276</v>
      </c>
    </row>
    <row r="1915" spans="1:2" x14ac:dyDescent="0.2">
      <c r="A1915" s="7" t="s">
        <v>695</v>
      </c>
      <c r="B1915" s="7" t="s">
        <v>258</v>
      </c>
    </row>
    <row r="1916" spans="1:2" x14ac:dyDescent="0.2">
      <c r="B1916" s="7" t="s">
        <v>288</v>
      </c>
    </row>
    <row r="1917" spans="1:2" x14ac:dyDescent="0.2">
      <c r="B1917" s="7" t="s">
        <v>374</v>
      </c>
    </row>
    <row r="1918" spans="1:2" x14ac:dyDescent="0.2">
      <c r="B1918" s="7" t="s">
        <v>239</v>
      </c>
    </row>
    <row r="1919" spans="1:2" x14ac:dyDescent="0.2">
      <c r="B1919" s="7" t="s">
        <v>214</v>
      </c>
    </row>
    <row r="1920" spans="1:2" x14ac:dyDescent="0.2">
      <c r="B1920" s="7" t="s">
        <v>135</v>
      </c>
    </row>
    <row r="1921" spans="1:2" x14ac:dyDescent="0.2">
      <c r="B1921" s="7" t="s">
        <v>604</v>
      </c>
    </row>
    <row r="1922" spans="1:2" x14ac:dyDescent="0.2">
      <c r="B1922" s="7" t="s">
        <v>303</v>
      </c>
    </row>
    <row r="1923" spans="1:2" x14ac:dyDescent="0.2">
      <c r="B1923" s="7" t="s">
        <v>254</v>
      </c>
    </row>
    <row r="1924" spans="1:2" x14ac:dyDescent="0.2">
      <c r="B1924" s="7" t="s">
        <v>219</v>
      </c>
    </row>
    <row r="1925" spans="1:2" x14ac:dyDescent="0.2">
      <c r="B1925" s="7" t="s">
        <v>137</v>
      </c>
    </row>
    <row r="1926" spans="1:2" x14ac:dyDescent="0.2">
      <c r="B1926" s="7" t="s">
        <v>340</v>
      </c>
    </row>
    <row r="1927" spans="1:2" x14ac:dyDescent="0.2">
      <c r="B1927" s="7" t="s">
        <v>319</v>
      </c>
    </row>
    <row r="1928" spans="1:2" x14ac:dyDescent="0.2">
      <c r="B1928" s="7" t="s">
        <v>134</v>
      </c>
    </row>
    <row r="1929" spans="1:2" x14ac:dyDescent="0.2">
      <c r="B1929" s="7" t="s">
        <v>261</v>
      </c>
    </row>
    <row r="1930" spans="1:2" x14ac:dyDescent="0.2">
      <c r="B1930" s="7" t="s">
        <v>81</v>
      </c>
    </row>
    <row r="1931" spans="1:2" x14ac:dyDescent="0.2">
      <c r="B1931" s="7" t="s">
        <v>270</v>
      </c>
    </row>
    <row r="1932" spans="1:2" x14ac:dyDescent="0.2">
      <c r="B1932" s="7" t="s">
        <v>203</v>
      </c>
    </row>
    <row r="1933" spans="1:2" x14ac:dyDescent="0.2">
      <c r="B1933" s="7" t="s">
        <v>649</v>
      </c>
    </row>
    <row r="1934" spans="1:2" x14ac:dyDescent="0.2">
      <c r="A1934" s="7" t="s">
        <v>603</v>
      </c>
      <c r="B1934" s="7" t="s">
        <v>292</v>
      </c>
    </row>
    <row r="1935" spans="1:2" x14ac:dyDescent="0.2">
      <c r="B1935" s="7" t="s">
        <v>16</v>
      </c>
    </row>
    <row r="1936" spans="1:2" x14ac:dyDescent="0.2">
      <c r="B1936" s="7" t="s">
        <v>138</v>
      </c>
    </row>
    <row r="1937" spans="2:2" x14ac:dyDescent="0.2">
      <c r="B1937" s="7" t="s">
        <v>214</v>
      </c>
    </row>
    <row r="1938" spans="2:2" x14ac:dyDescent="0.2">
      <c r="B1938" s="7" t="s">
        <v>389</v>
      </c>
    </row>
    <row r="1939" spans="2:2" x14ac:dyDescent="0.2">
      <c r="B1939" s="7" t="s">
        <v>191</v>
      </c>
    </row>
    <row r="1940" spans="2:2" x14ac:dyDescent="0.2">
      <c r="B1940" s="7" t="s">
        <v>451</v>
      </c>
    </row>
    <row r="1941" spans="2:2" x14ac:dyDescent="0.2">
      <c r="B1941" s="7" t="s">
        <v>604</v>
      </c>
    </row>
    <row r="1942" spans="2:2" x14ac:dyDescent="0.2">
      <c r="B1942" s="7" t="s">
        <v>303</v>
      </c>
    </row>
    <row r="1943" spans="2:2" x14ac:dyDescent="0.2">
      <c r="B1943" s="7" t="s">
        <v>41</v>
      </c>
    </row>
    <row r="1944" spans="2:2" x14ac:dyDescent="0.2">
      <c r="B1944" s="7" t="s">
        <v>49</v>
      </c>
    </row>
    <row r="1945" spans="2:2" x14ac:dyDescent="0.2">
      <c r="B1945" s="7" t="s">
        <v>419</v>
      </c>
    </row>
    <row r="1946" spans="2:2" x14ac:dyDescent="0.2">
      <c r="B1946" s="7" t="s">
        <v>260</v>
      </c>
    </row>
    <row r="1947" spans="2:2" x14ac:dyDescent="0.2">
      <c r="B1947" s="7" t="s">
        <v>232</v>
      </c>
    </row>
    <row r="1948" spans="2:2" x14ac:dyDescent="0.2">
      <c r="B1948" s="7" t="s">
        <v>114</v>
      </c>
    </row>
    <row r="1949" spans="2:2" x14ac:dyDescent="0.2">
      <c r="B1949" s="7" t="s">
        <v>158</v>
      </c>
    </row>
    <row r="1950" spans="2:2" x14ac:dyDescent="0.2">
      <c r="B1950" s="7" t="s">
        <v>90</v>
      </c>
    </row>
    <row r="1951" spans="2:2" x14ac:dyDescent="0.2">
      <c r="B1951" s="7" t="s">
        <v>326</v>
      </c>
    </row>
    <row r="1952" spans="2:2" x14ac:dyDescent="0.2">
      <c r="B1952" s="7" t="s">
        <v>227</v>
      </c>
    </row>
    <row r="1953" spans="1:2" x14ac:dyDescent="0.2">
      <c r="B1953" s="7" t="s">
        <v>181</v>
      </c>
    </row>
    <row r="1954" spans="1:2" x14ac:dyDescent="0.2">
      <c r="A1954" s="7" t="s">
        <v>602</v>
      </c>
      <c r="B1954" s="7" t="s">
        <v>207</v>
      </c>
    </row>
    <row r="1955" spans="1:2" x14ac:dyDescent="0.2">
      <c r="B1955" s="7" t="s">
        <v>183</v>
      </c>
    </row>
    <row r="1956" spans="1:2" x14ac:dyDescent="0.2">
      <c r="B1956" s="7" t="s">
        <v>124</v>
      </c>
    </row>
    <row r="1957" spans="1:2" x14ac:dyDescent="0.2">
      <c r="B1957" s="7" t="s">
        <v>532</v>
      </c>
    </row>
    <row r="1958" spans="1:2" x14ac:dyDescent="0.2">
      <c r="B1958" s="7" t="s">
        <v>378</v>
      </c>
    </row>
    <row r="1959" spans="1:2" x14ac:dyDescent="0.2">
      <c r="B1959" s="7" t="s">
        <v>338</v>
      </c>
    </row>
    <row r="1960" spans="1:2" x14ac:dyDescent="0.2">
      <c r="B1960" s="7" t="s">
        <v>243</v>
      </c>
    </row>
    <row r="1961" spans="1:2" x14ac:dyDescent="0.2">
      <c r="B1961" s="7" t="s">
        <v>301</v>
      </c>
    </row>
    <row r="1962" spans="1:2" x14ac:dyDescent="0.2">
      <c r="B1962" s="7" t="s">
        <v>350</v>
      </c>
    </row>
    <row r="1963" spans="1:2" x14ac:dyDescent="0.2">
      <c r="B1963" s="7" t="s">
        <v>362</v>
      </c>
    </row>
    <row r="1964" spans="1:2" x14ac:dyDescent="0.2">
      <c r="B1964" s="7" t="s">
        <v>314</v>
      </c>
    </row>
    <row r="1965" spans="1:2" x14ac:dyDescent="0.2">
      <c r="B1965" s="7" t="s">
        <v>366</v>
      </c>
    </row>
    <row r="1966" spans="1:2" x14ac:dyDescent="0.2">
      <c r="B1966" s="7" t="s">
        <v>72</v>
      </c>
    </row>
    <row r="1967" spans="1:2" x14ac:dyDescent="0.2">
      <c r="B1967" s="7" t="s">
        <v>94</v>
      </c>
    </row>
    <row r="1968" spans="1:2" x14ac:dyDescent="0.2">
      <c r="B1968" s="7" t="s">
        <v>327</v>
      </c>
    </row>
    <row r="1969" spans="1:2" x14ac:dyDescent="0.2">
      <c r="B1969" s="7" t="s">
        <v>537</v>
      </c>
    </row>
    <row r="1970" spans="1:2" x14ac:dyDescent="0.2">
      <c r="B1970" s="7" t="s">
        <v>273</v>
      </c>
    </row>
    <row r="1971" spans="1:2" x14ac:dyDescent="0.2">
      <c r="B1971" s="7" t="s">
        <v>98</v>
      </c>
    </row>
    <row r="1972" spans="1:2" x14ac:dyDescent="0.2">
      <c r="B1972" s="7" t="s">
        <v>275</v>
      </c>
    </row>
    <row r="1973" spans="1:2" x14ac:dyDescent="0.2">
      <c r="B1973" s="7" t="s">
        <v>204</v>
      </c>
    </row>
    <row r="1974" spans="1:2" x14ac:dyDescent="0.2">
      <c r="A1974" s="7" t="s">
        <v>600</v>
      </c>
      <c r="B1974" s="7" t="s">
        <v>103</v>
      </c>
    </row>
    <row r="1975" spans="1:2" x14ac:dyDescent="0.2">
      <c r="B1975" s="7" t="s">
        <v>10</v>
      </c>
    </row>
    <row r="1976" spans="1:2" x14ac:dyDescent="0.2">
      <c r="B1976" s="7" t="s">
        <v>187</v>
      </c>
    </row>
    <row r="1977" spans="1:2" x14ac:dyDescent="0.2">
      <c r="B1977" s="7" t="s">
        <v>11</v>
      </c>
    </row>
    <row r="1978" spans="1:2" x14ac:dyDescent="0.2">
      <c r="B1978" s="7" t="s">
        <v>349</v>
      </c>
    </row>
    <row r="1979" spans="1:2" x14ac:dyDescent="0.2">
      <c r="B1979" s="7" t="s">
        <v>291</v>
      </c>
    </row>
    <row r="1980" spans="1:2" x14ac:dyDescent="0.2">
      <c r="B1980" s="7" t="s">
        <v>31</v>
      </c>
    </row>
    <row r="1981" spans="1:2" x14ac:dyDescent="0.2">
      <c r="B1981" s="7" t="s">
        <v>194</v>
      </c>
    </row>
    <row r="1982" spans="1:2" x14ac:dyDescent="0.2">
      <c r="B1982" s="7" t="s">
        <v>310</v>
      </c>
    </row>
    <row r="1983" spans="1:2" x14ac:dyDescent="0.2">
      <c r="B1983" s="7" t="s">
        <v>311</v>
      </c>
    </row>
    <row r="1984" spans="1:2" x14ac:dyDescent="0.2">
      <c r="B1984" s="7" t="s">
        <v>364</v>
      </c>
    </row>
    <row r="1985" spans="1:2" x14ac:dyDescent="0.2">
      <c r="B1985" s="7" t="s">
        <v>178</v>
      </c>
    </row>
    <row r="1986" spans="1:2" x14ac:dyDescent="0.2">
      <c r="B1986" s="7" t="s">
        <v>215</v>
      </c>
    </row>
    <row r="1987" spans="1:2" x14ac:dyDescent="0.2">
      <c r="B1987" s="7" t="s">
        <v>390</v>
      </c>
    </row>
    <row r="1988" spans="1:2" x14ac:dyDescent="0.2">
      <c r="B1988" s="7" t="s">
        <v>306</v>
      </c>
    </row>
    <row r="1989" spans="1:2" x14ac:dyDescent="0.2">
      <c r="B1989" s="7" t="s">
        <v>62</v>
      </c>
    </row>
    <row r="1990" spans="1:2" x14ac:dyDescent="0.2">
      <c r="B1990" s="7" t="s">
        <v>391</v>
      </c>
    </row>
    <row r="1991" spans="1:2" x14ac:dyDescent="0.2">
      <c r="B1991" s="7" t="s">
        <v>87</v>
      </c>
    </row>
    <row r="1992" spans="1:2" x14ac:dyDescent="0.2">
      <c r="B1992" s="7" t="s">
        <v>119</v>
      </c>
    </row>
    <row r="1993" spans="1:2" x14ac:dyDescent="0.2">
      <c r="B1993" s="7" t="s">
        <v>120</v>
      </c>
    </row>
    <row r="1994" spans="1:2" x14ac:dyDescent="0.2">
      <c r="A1994" s="7" t="s">
        <v>104</v>
      </c>
      <c r="B1994" s="7" t="s">
        <v>103</v>
      </c>
    </row>
    <row r="1995" spans="1:2" x14ac:dyDescent="0.2">
      <c r="B1995" s="7" t="s">
        <v>10</v>
      </c>
    </row>
    <row r="1996" spans="1:2" x14ac:dyDescent="0.2">
      <c r="B1996" s="7" t="s">
        <v>106</v>
      </c>
    </row>
    <row r="1997" spans="1:2" x14ac:dyDescent="0.2">
      <c r="B1997" s="7" t="s">
        <v>7</v>
      </c>
    </row>
    <row r="1998" spans="1:2" x14ac:dyDescent="0.2">
      <c r="B1998" s="7" t="s">
        <v>107</v>
      </c>
    </row>
    <row r="1999" spans="1:2" x14ac:dyDescent="0.2">
      <c r="B1999" s="7" t="s">
        <v>49</v>
      </c>
    </row>
    <row r="2000" spans="1:2" x14ac:dyDescent="0.2">
      <c r="B2000" s="7" t="s">
        <v>52</v>
      </c>
    </row>
    <row r="2001" spans="2:2" x14ac:dyDescent="0.2">
      <c r="B2001" s="7" t="s">
        <v>55</v>
      </c>
    </row>
    <row r="2002" spans="2:2" x14ac:dyDescent="0.2">
      <c r="B2002" s="7" t="s">
        <v>108</v>
      </c>
    </row>
    <row r="2003" spans="2:2" x14ac:dyDescent="0.2">
      <c r="B2003" s="7" t="s">
        <v>109</v>
      </c>
    </row>
    <row r="2004" spans="2:2" x14ac:dyDescent="0.2">
      <c r="B2004" s="7" t="s">
        <v>111</v>
      </c>
    </row>
    <row r="2005" spans="2:2" x14ac:dyDescent="0.2">
      <c r="B2005" s="7" t="s">
        <v>62</v>
      </c>
    </row>
    <row r="2006" spans="2:2" x14ac:dyDescent="0.2">
      <c r="B2006" s="7" t="s">
        <v>112</v>
      </c>
    </row>
    <row r="2007" spans="2:2" x14ac:dyDescent="0.2">
      <c r="B2007" s="7" t="s">
        <v>70</v>
      </c>
    </row>
    <row r="2008" spans="2:2" x14ac:dyDescent="0.2">
      <c r="B2008" s="7" t="s">
        <v>114</v>
      </c>
    </row>
    <row r="2009" spans="2:2" x14ac:dyDescent="0.2">
      <c r="B2009" s="7" t="s">
        <v>75</v>
      </c>
    </row>
    <row r="2010" spans="2:2" x14ac:dyDescent="0.2">
      <c r="B2010" s="7" t="s">
        <v>116</v>
      </c>
    </row>
    <row r="2011" spans="2:2" x14ac:dyDescent="0.2">
      <c r="B2011" s="7" t="s">
        <v>87</v>
      </c>
    </row>
    <row r="2012" spans="2:2" x14ac:dyDescent="0.2">
      <c r="B2012" s="7" t="s">
        <v>117</v>
      </c>
    </row>
    <row r="2013" spans="2:2" x14ac:dyDescent="0.2">
      <c r="B2013" s="7" t="s">
        <v>118</v>
      </c>
    </row>
    <row r="2014" spans="2:2" x14ac:dyDescent="0.2">
      <c r="B2014" s="7" t="s">
        <v>119</v>
      </c>
    </row>
    <row r="2015" spans="2:2" x14ac:dyDescent="0.2">
      <c r="B2015" s="7" t="s">
        <v>120</v>
      </c>
    </row>
    <row r="2016" spans="2:2" x14ac:dyDescent="0.2">
      <c r="B2016" s="7" t="s">
        <v>122</v>
      </c>
    </row>
    <row r="2017" spans="1:2" x14ac:dyDescent="0.2">
      <c r="A2017" s="7" t="s">
        <v>641</v>
      </c>
      <c r="B2017" s="7" t="s">
        <v>207</v>
      </c>
    </row>
    <row r="2018" spans="1:2" x14ac:dyDescent="0.2">
      <c r="B2018" s="7" t="s">
        <v>20</v>
      </c>
    </row>
    <row r="2019" spans="1:2" x14ac:dyDescent="0.2">
      <c r="B2019" s="7" t="s">
        <v>516</v>
      </c>
    </row>
    <row r="2020" spans="1:2" x14ac:dyDescent="0.2">
      <c r="B2020" s="7" t="s">
        <v>393</v>
      </c>
    </row>
    <row r="2021" spans="1:2" x14ac:dyDescent="0.2">
      <c r="B2021" s="7" t="s">
        <v>318</v>
      </c>
    </row>
    <row r="2022" spans="1:2" x14ac:dyDescent="0.2">
      <c r="B2022" s="7" t="s">
        <v>344</v>
      </c>
    </row>
    <row r="2023" spans="1:2" x14ac:dyDescent="0.2">
      <c r="B2023" s="7" t="s">
        <v>95</v>
      </c>
    </row>
    <row r="2024" spans="1:2" x14ac:dyDescent="0.2">
      <c r="A2024" s="7" t="s">
        <v>697</v>
      </c>
      <c r="B2024" s="7" t="s">
        <v>359</v>
      </c>
    </row>
    <row r="2025" spans="1:2" x14ac:dyDescent="0.2">
      <c r="B2025" s="7" t="s">
        <v>258</v>
      </c>
    </row>
    <row r="2026" spans="1:2" x14ac:dyDescent="0.2">
      <c r="B2026" s="7" t="s">
        <v>536</v>
      </c>
    </row>
    <row r="2027" spans="1:2" x14ac:dyDescent="0.2">
      <c r="B2027" s="7" t="s">
        <v>241</v>
      </c>
    </row>
    <row r="2028" spans="1:2" x14ac:dyDescent="0.2">
      <c r="B2028" s="7" t="s">
        <v>247</v>
      </c>
    </row>
    <row r="2029" spans="1:2" x14ac:dyDescent="0.2">
      <c r="B2029" s="7" t="s">
        <v>686</v>
      </c>
    </row>
    <row r="2030" spans="1:2" x14ac:dyDescent="0.2">
      <c r="B2030" s="7" t="s">
        <v>454</v>
      </c>
    </row>
    <row r="2031" spans="1:2" x14ac:dyDescent="0.2">
      <c r="B2031" s="7" t="s">
        <v>215</v>
      </c>
    </row>
    <row r="2032" spans="1:2" x14ac:dyDescent="0.2">
      <c r="B2032" s="7" t="s">
        <v>114</v>
      </c>
    </row>
    <row r="2033" spans="1:2" x14ac:dyDescent="0.2">
      <c r="B2033" s="7" t="s">
        <v>331</v>
      </c>
    </row>
    <row r="2034" spans="1:2" x14ac:dyDescent="0.2">
      <c r="B2034" s="7" t="s">
        <v>669</v>
      </c>
    </row>
    <row r="2035" spans="1:2" x14ac:dyDescent="0.2">
      <c r="B2035" s="7" t="s">
        <v>595</v>
      </c>
    </row>
    <row r="2036" spans="1:2" x14ac:dyDescent="0.2">
      <c r="B2036" s="7" t="s">
        <v>333</v>
      </c>
    </row>
    <row r="2037" spans="1:2" x14ac:dyDescent="0.2">
      <c r="B2037" s="7" t="s">
        <v>508</v>
      </c>
    </row>
    <row r="2038" spans="1:2" x14ac:dyDescent="0.2">
      <c r="B2038" s="7" t="s">
        <v>370</v>
      </c>
    </row>
    <row r="2039" spans="1:2" x14ac:dyDescent="0.2">
      <c r="B2039" s="7" t="s">
        <v>120</v>
      </c>
    </row>
    <row r="2040" spans="1:2" x14ac:dyDescent="0.2">
      <c r="A2040" s="7" t="s">
        <v>664</v>
      </c>
      <c r="B2040" s="7" t="s">
        <v>285</v>
      </c>
    </row>
    <row r="2041" spans="1:2" x14ac:dyDescent="0.2">
      <c r="B2041" s="7" t="s">
        <v>410</v>
      </c>
    </row>
    <row r="2042" spans="1:2" x14ac:dyDescent="0.2">
      <c r="B2042" s="7" t="s">
        <v>12</v>
      </c>
    </row>
    <row r="2043" spans="1:2" x14ac:dyDescent="0.2">
      <c r="B2043" s="7" t="s">
        <v>658</v>
      </c>
    </row>
    <row r="2044" spans="1:2" x14ac:dyDescent="0.2">
      <c r="B2044" s="7" t="s">
        <v>296</v>
      </c>
    </row>
    <row r="2045" spans="1:2" x14ac:dyDescent="0.2">
      <c r="B2045" s="7" t="s">
        <v>169</v>
      </c>
    </row>
    <row r="2046" spans="1:2" x14ac:dyDescent="0.2">
      <c r="B2046" s="7" t="s">
        <v>249</v>
      </c>
    </row>
    <row r="2047" spans="1:2" x14ac:dyDescent="0.2">
      <c r="B2047" s="7" t="s">
        <v>174</v>
      </c>
    </row>
    <row r="2048" spans="1:2" x14ac:dyDescent="0.2">
      <c r="B2048" s="7" t="s">
        <v>419</v>
      </c>
    </row>
    <row r="2049" spans="1:2" x14ac:dyDescent="0.2">
      <c r="B2049" s="7" t="s">
        <v>632</v>
      </c>
    </row>
    <row r="2050" spans="1:2" x14ac:dyDescent="0.2">
      <c r="A2050" s="7" t="s">
        <v>385</v>
      </c>
      <c r="B2050" s="7" t="s">
        <v>205</v>
      </c>
    </row>
    <row r="2051" spans="1:2" x14ac:dyDescent="0.2">
      <c r="B2051" s="7" t="s">
        <v>207</v>
      </c>
    </row>
    <row r="2052" spans="1:2" x14ac:dyDescent="0.2">
      <c r="B2052" s="7" t="s">
        <v>183</v>
      </c>
    </row>
    <row r="2053" spans="1:2" x14ac:dyDescent="0.2">
      <c r="B2053" s="7" t="s">
        <v>185</v>
      </c>
    </row>
    <row r="2054" spans="1:2" x14ac:dyDescent="0.2">
      <c r="B2054" s="7" t="s">
        <v>186</v>
      </c>
    </row>
    <row r="2055" spans="1:2" x14ac:dyDescent="0.2">
      <c r="B2055" s="7" t="s">
        <v>187</v>
      </c>
    </row>
    <row r="2056" spans="1:2" x14ac:dyDescent="0.2">
      <c r="B2056" s="7" t="s">
        <v>209</v>
      </c>
    </row>
    <row r="2057" spans="1:2" x14ac:dyDescent="0.2">
      <c r="B2057" s="7" t="s">
        <v>188</v>
      </c>
    </row>
    <row r="2058" spans="1:2" x14ac:dyDescent="0.2">
      <c r="B2058" s="7" t="s">
        <v>4</v>
      </c>
    </row>
    <row r="2059" spans="1:2" x14ac:dyDescent="0.2">
      <c r="B2059" s="7" t="s">
        <v>189</v>
      </c>
    </row>
    <row r="2060" spans="1:2" x14ac:dyDescent="0.2">
      <c r="B2060" s="7" t="s">
        <v>210</v>
      </c>
    </row>
    <row r="2061" spans="1:2" x14ac:dyDescent="0.2">
      <c r="B2061" s="7" t="s">
        <v>190</v>
      </c>
    </row>
    <row r="2062" spans="1:2" x14ac:dyDescent="0.2">
      <c r="B2062" s="7" t="s">
        <v>211</v>
      </c>
    </row>
    <row r="2063" spans="1:2" x14ac:dyDescent="0.2">
      <c r="B2063" s="7" t="s">
        <v>212</v>
      </c>
    </row>
    <row r="2064" spans="1:2" x14ac:dyDescent="0.2">
      <c r="B2064" s="7" t="s">
        <v>16</v>
      </c>
    </row>
    <row r="2065" spans="2:2" x14ac:dyDescent="0.2">
      <c r="B2065" s="7" t="s">
        <v>133</v>
      </c>
    </row>
    <row r="2066" spans="2:2" x14ac:dyDescent="0.2">
      <c r="B2066" s="7" t="s">
        <v>20</v>
      </c>
    </row>
    <row r="2067" spans="2:2" x14ac:dyDescent="0.2">
      <c r="B2067" s="7" t="s">
        <v>214</v>
      </c>
    </row>
    <row r="2068" spans="2:2" x14ac:dyDescent="0.2">
      <c r="B2068" s="7" t="s">
        <v>25</v>
      </c>
    </row>
    <row r="2069" spans="2:2" x14ac:dyDescent="0.2">
      <c r="B2069" s="7" t="s">
        <v>216</v>
      </c>
    </row>
    <row r="2070" spans="2:2" x14ac:dyDescent="0.2">
      <c r="B2070" s="7" t="s">
        <v>139</v>
      </c>
    </row>
    <row r="2071" spans="2:2" x14ac:dyDescent="0.2">
      <c r="B2071" s="7" t="s">
        <v>217</v>
      </c>
    </row>
    <row r="2072" spans="2:2" x14ac:dyDescent="0.2">
      <c r="B2072" s="7" t="s">
        <v>191</v>
      </c>
    </row>
    <row r="2073" spans="2:2" x14ac:dyDescent="0.2">
      <c r="B2073" s="7" t="s">
        <v>7</v>
      </c>
    </row>
    <row r="2074" spans="2:2" x14ac:dyDescent="0.2">
      <c r="B2074" s="7" t="s">
        <v>193</v>
      </c>
    </row>
    <row r="2075" spans="2:2" x14ac:dyDescent="0.2">
      <c r="B2075" s="7" t="s">
        <v>194</v>
      </c>
    </row>
    <row r="2076" spans="2:2" x14ac:dyDescent="0.2">
      <c r="B2076" s="7" t="s">
        <v>195</v>
      </c>
    </row>
    <row r="2077" spans="2:2" x14ac:dyDescent="0.2">
      <c r="B2077" s="7" t="s">
        <v>146</v>
      </c>
    </row>
    <row r="2078" spans="2:2" x14ac:dyDescent="0.2">
      <c r="B2078" s="7" t="s">
        <v>196</v>
      </c>
    </row>
    <row r="2079" spans="2:2" x14ac:dyDescent="0.2">
      <c r="B2079" s="7" t="s">
        <v>43</v>
      </c>
    </row>
    <row r="2080" spans="2:2" x14ac:dyDescent="0.2">
      <c r="B2080" s="7" t="s">
        <v>197</v>
      </c>
    </row>
    <row r="2081" spans="2:2" x14ac:dyDescent="0.2">
      <c r="B2081" s="7" t="s">
        <v>198</v>
      </c>
    </row>
    <row r="2082" spans="2:2" x14ac:dyDescent="0.2">
      <c r="B2082" s="7" t="s">
        <v>49</v>
      </c>
    </row>
    <row r="2083" spans="2:2" x14ac:dyDescent="0.2">
      <c r="B2083" s="7" t="s">
        <v>149</v>
      </c>
    </row>
    <row r="2084" spans="2:2" x14ac:dyDescent="0.2">
      <c r="B2084" s="7" t="s">
        <v>199</v>
      </c>
    </row>
    <row r="2085" spans="2:2" x14ac:dyDescent="0.2">
      <c r="B2085" s="7" t="s">
        <v>220</v>
      </c>
    </row>
    <row r="2086" spans="2:2" x14ac:dyDescent="0.2">
      <c r="B2086" s="7" t="s">
        <v>175</v>
      </c>
    </row>
    <row r="2087" spans="2:2" x14ac:dyDescent="0.2">
      <c r="B2087" s="7" t="s">
        <v>221</v>
      </c>
    </row>
    <row r="2088" spans="2:2" x14ac:dyDescent="0.2">
      <c r="B2088" s="7" t="s">
        <v>222</v>
      </c>
    </row>
    <row r="2089" spans="2:2" x14ac:dyDescent="0.2">
      <c r="B2089" s="7" t="s">
        <v>200</v>
      </c>
    </row>
    <row r="2090" spans="2:2" x14ac:dyDescent="0.2">
      <c r="B2090" s="7" t="s">
        <v>223</v>
      </c>
    </row>
    <row r="2091" spans="2:2" x14ac:dyDescent="0.2">
      <c r="B2091" s="7" t="s">
        <v>150</v>
      </c>
    </row>
    <row r="2092" spans="2:2" x14ac:dyDescent="0.2">
      <c r="B2092" s="7" t="s">
        <v>55</v>
      </c>
    </row>
    <row r="2093" spans="2:2" x14ac:dyDescent="0.2">
      <c r="B2093" s="7" t="s">
        <v>154</v>
      </c>
    </row>
    <row r="2094" spans="2:2" x14ac:dyDescent="0.2">
      <c r="B2094" s="7" t="s">
        <v>224</v>
      </c>
    </row>
    <row r="2095" spans="2:2" x14ac:dyDescent="0.2">
      <c r="B2095" s="7" t="s">
        <v>112</v>
      </c>
    </row>
    <row r="2096" spans="2:2" x14ac:dyDescent="0.2">
      <c r="B2096" s="7" t="s">
        <v>67</v>
      </c>
    </row>
    <row r="2097" spans="1:2" x14ac:dyDescent="0.2">
      <c r="B2097" s="7" t="s">
        <v>201</v>
      </c>
    </row>
    <row r="2098" spans="1:2" x14ac:dyDescent="0.2">
      <c r="B2098" s="7" t="s">
        <v>225</v>
      </c>
    </row>
    <row r="2099" spans="1:2" x14ac:dyDescent="0.2">
      <c r="B2099" s="7" t="s">
        <v>226</v>
      </c>
    </row>
    <row r="2100" spans="1:2" x14ac:dyDescent="0.2">
      <c r="B2100" s="7" t="s">
        <v>89</v>
      </c>
    </row>
    <row r="2101" spans="1:2" x14ac:dyDescent="0.2">
      <c r="B2101" s="7" t="s">
        <v>160</v>
      </c>
    </row>
    <row r="2102" spans="1:2" x14ac:dyDescent="0.2">
      <c r="B2102" s="7" t="s">
        <v>92</v>
      </c>
    </row>
    <row r="2103" spans="1:2" x14ac:dyDescent="0.2">
      <c r="B2103" s="7" t="s">
        <v>117</v>
      </c>
    </row>
    <row r="2104" spans="1:2" x14ac:dyDescent="0.2">
      <c r="B2104" s="7" t="s">
        <v>202</v>
      </c>
    </row>
    <row r="2105" spans="1:2" x14ac:dyDescent="0.2">
      <c r="B2105" s="7" t="s">
        <v>118</v>
      </c>
    </row>
    <row r="2106" spans="1:2" x14ac:dyDescent="0.2">
      <c r="B2106" s="7" t="s">
        <v>227</v>
      </c>
    </row>
    <row r="2107" spans="1:2" x14ac:dyDescent="0.2">
      <c r="B2107" s="7" t="s">
        <v>203</v>
      </c>
    </row>
    <row r="2108" spans="1:2" x14ac:dyDescent="0.2">
      <c r="B2108" s="7" t="s">
        <v>228</v>
      </c>
    </row>
    <row r="2109" spans="1:2" x14ac:dyDescent="0.2">
      <c r="B2109" s="7" t="s">
        <v>230</v>
      </c>
    </row>
    <row r="2110" spans="1:2" x14ac:dyDescent="0.2">
      <c r="B2110" s="7" t="s">
        <v>231</v>
      </c>
    </row>
    <row r="2111" spans="1:2" x14ac:dyDescent="0.2">
      <c r="B2111" s="7" t="s">
        <v>204</v>
      </c>
    </row>
    <row r="2112" spans="1:2" x14ac:dyDescent="0.2">
      <c r="A2112" s="7" t="s">
        <v>618</v>
      </c>
      <c r="B2112" s="7" t="s">
        <v>164</v>
      </c>
    </row>
    <row r="2113" spans="1:2" x14ac:dyDescent="0.2">
      <c r="B2113" s="7" t="s">
        <v>189</v>
      </c>
    </row>
    <row r="2114" spans="1:2" x14ac:dyDescent="0.2">
      <c r="B2114" s="7" t="s">
        <v>170</v>
      </c>
    </row>
    <row r="2115" spans="1:2" x14ac:dyDescent="0.2">
      <c r="B2115" s="7" t="s">
        <v>46</v>
      </c>
    </row>
    <row r="2116" spans="1:2" x14ac:dyDescent="0.2">
      <c r="B2116" s="7" t="s">
        <v>316</v>
      </c>
    </row>
    <row r="2117" spans="1:2" x14ac:dyDescent="0.2">
      <c r="B2117" s="7" t="s">
        <v>529</v>
      </c>
    </row>
    <row r="2118" spans="1:2" x14ac:dyDescent="0.2">
      <c r="B2118" s="7" t="s">
        <v>81</v>
      </c>
    </row>
    <row r="2119" spans="1:2" x14ac:dyDescent="0.2">
      <c r="B2119" s="7" t="s">
        <v>375</v>
      </c>
    </row>
    <row r="2120" spans="1:2" x14ac:dyDescent="0.2">
      <c r="B2120" s="7" t="s">
        <v>391</v>
      </c>
    </row>
    <row r="2121" spans="1:2" x14ac:dyDescent="0.2">
      <c r="A2121" s="7" t="s">
        <v>662</v>
      </c>
      <c r="B2121" s="7" t="s">
        <v>18</v>
      </c>
    </row>
    <row r="2122" spans="1:2" x14ac:dyDescent="0.2">
      <c r="B2122" s="7" t="s">
        <v>22</v>
      </c>
    </row>
    <row r="2123" spans="1:2" x14ac:dyDescent="0.2">
      <c r="B2123" s="7" t="s">
        <v>27</v>
      </c>
    </row>
    <row r="2124" spans="1:2" x14ac:dyDescent="0.2">
      <c r="B2124" s="7" t="s">
        <v>379</v>
      </c>
    </row>
    <row r="2125" spans="1:2" x14ac:dyDescent="0.2">
      <c r="B2125" s="7" t="s">
        <v>46</v>
      </c>
    </row>
    <row r="2126" spans="1:2" x14ac:dyDescent="0.2">
      <c r="B2126" s="7" t="s">
        <v>49</v>
      </c>
    </row>
    <row r="2127" spans="1:2" x14ac:dyDescent="0.2">
      <c r="B2127" s="7" t="s">
        <v>52</v>
      </c>
    </row>
    <row r="2128" spans="1:2" x14ac:dyDescent="0.2">
      <c r="B2128" s="7" t="s">
        <v>62</v>
      </c>
    </row>
    <row r="2129" spans="1:2" x14ac:dyDescent="0.2">
      <c r="B2129" s="7" t="s">
        <v>67</v>
      </c>
    </row>
    <row r="2130" spans="1:2" x14ac:dyDescent="0.2">
      <c r="B2130" s="7" t="s">
        <v>70</v>
      </c>
    </row>
    <row r="2131" spans="1:2" x14ac:dyDescent="0.2">
      <c r="B2131" s="7" t="s">
        <v>75</v>
      </c>
    </row>
    <row r="2132" spans="1:2" x14ac:dyDescent="0.2">
      <c r="B2132" s="7" t="s">
        <v>101</v>
      </c>
    </row>
    <row r="2133" spans="1:2" x14ac:dyDescent="0.2">
      <c r="A2133" s="7" t="s">
        <v>687</v>
      </c>
      <c r="B2133" s="7" t="s">
        <v>233</v>
      </c>
    </row>
    <row r="2134" spans="1:2" x14ac:dyDescent="0.2">
      <c r="B2134" s="7" t="s">
        <v>236</v>
      </c>
    </row>
    <row r="2135" spans="1:2" x14ac:dyDescent="0.2">
      <c r="B2135" s="7" t="s">
        <v>10</v>
      </c>
    </row>
    <row r="2136" spans="1:2" x14ac:dyDescent="0.2">
      <c r="B2136" s="7" t="s">
        <v>359</v>
      </c>
    </row>
    <row r="2137" spans="1:2" x14ac:dyDescent="0.2">
      <c r="B2137" s="7" t="s">
        <v>186</v>
      </c>
    </row>
    <row r="2138" spans="1:2" x14ac:dyDescent="0.2">
      <c r="B2138" s="7" t="s">
        <v>646</v>
      </c>
    </row>
    <row r="2139" spans="1:2" x14ac:dyDescent="0.2">
      <c r="B2139" s="7" t="s">
        <v>127</v>
      </c>
    </row>
    <row r="2140" spans="1:2" x14ac:dyDescent="0.2">
      <c r="B2140" s="7" t="s">
        <v>209</v>
      </c>
    </row>
    <row r="2141" spans="1:2" x14ac:dyDescent="0.2">
      <c r="B2141" s="7" t="s">
        <v>287</v>
      </c>
    </row>
    <row r="2142" spans="1:2" x14ac:dyDescent="0.2">
      <c r="B2142" s="7" t="s">
        <v>349</v>
      </c>
    </row>
    <row r="2143" spans="1:2" x14ac:dyDescent="0.2">
      <c r="B2143" s="7" t="s">
        <v>291</v>
      </c>
    </row>
    <row r="2144" spans="1:2" x14ac:dyDescent="0.2">
      <c r="B2144" s="7" t="s">
        <v>431</v>
      </c>
    </row>
    <row r="2145" spans="2:2" x14ac:dyDescent="0.2">
      <c r="B2145" s="7" t="s">
        <v>133</v>
      </c>
    </row>
    <row r="2146" spans="2:2" x14ac:dyDescent="0.2">
      <c r="B2146" s="7" t="s">
        <v>676</v>
      </c>
    </row>
    <row r="2147" spans="2:2" x14ac:dyDescent="0.2">
      <c r="B2147" s="7" t="s">
        <v>135</v>
      </c>
    </row>
    <row r="2148" spans="2:2" x14ac:dyDescent="0.2">
      <c r="B2148" s="7" t="s">
        <v>218</v>
      </c>
    </row>
    <row r="2149" spans="2:2" x14ac:dyDescent="0.2">
      <c r="B2149" s="7" t="s">
        <v>216</v>
      </c>
    </row>
    <row r="2150" spans="2:2" x14ac:dyDescent="0.2">
      <c r="B2150" s="7" t="s">
        <v>244</v>
      </c>
    </row>
    <row r="2151" spans="2:2" x14ac:dyDescent="0.2">
      <c r="B2151" s="7" t="s">
        <v>142</v>
      </c>
    </row>
    <row r="2152" spans="2:2" x14ac:dyDescent="0.2">
      <c r="B2152" s="7" t="s">
        <v>113</v>
      </c>
    </row>
    <row r="2153" spans="2:2" x14ac:dyDescent="0.2">
      <c r="B2153" s="7" t="s">
        <v>193</v>
      </c>
    </row>
    <row r="2154" spans="2:2" x14ac:dyDescent="0.2">
      <c r="B2154" s="7" t="s">
        <v>301</v>
      </c>
    </row>
    <row r="2155" spans="2:2" x14ac:dyDescent="0.2">
      <c r="B2155" s="7" t="s">
        <v>350</v>
      </c>
    </row>
    <row r="2156" spans="2:2" x14ac:dyDescent="0.2">
      <c r="B2156" s="7" t="s">
        <v>251</v>
      </c>
    </row>
    <row r="2157" spans="2:2" x14ac:dyDescent="0.2">
      <c r="B2157" s="7" t="s">
        <v>362</v>
      </c>
    </row>
    <row r="2158" spans="2:2" x14ac:dyDescent="0.2">
      <c r="B2158" s="7" t="s">
        <v>197</v>
      </c>
    </row>
    <row r="2159" spans="2:2" x14ac:dyDescent="0.2">
      <c r="B2159" s="7" t="s">
        <v>46</v>
      </c>
    </row>
    <row r="2160" spans="2:2" x14ac:dyDescent="0.2">
      <c r="B2160" s="7" t="s">
        <v>49</v>
      </c>
    </row>
    <row r="2161" spans="2:2" x14ac:dyDescent="0.2">
      <c r="B2161" s="7" t="s">
        <v>310</v>
      </c>
    </row>
    <row r="2162" spans="2:2" x14ac:dyDescent="0.2">
      <c r="B2162" s="7" t="s">
        <v>149</v>
      </c>
    </row>
    <row r="2163" spans="2:2" x14ac:dyDescent="0.2">
      <c r="B2163" s="7" t="s">
        <v>175</v>
      </c>
    </row>
    <row r="2164" spans="2:2" x14ac:dyDescent="0.2">
      <c r="B2164" s="7" t="s">
        <v>319</v>
      </c>
    </row>
    <row r="2165" spans="2:2" x14ac:dyDescent="0.2">
      <c r="B2165" s="7" t="s">
        <v>259</v>
      </c>
    </row>
    <row r="2166" spans="2:2" x14ac:dyDescent="0.2">
      <c r="B2166" s="7" t="s">
        <v>454</v>
      </c>
    </row>
    <row r="2167" spans="2:2" x14ac:dyDescent="0.2">
      <c r="B2167" s="7" t="s">
        <v>337</v>
      </c>
    </row>
    <row r="2168" spans="2:2" x14ac:dyDescent="0.2">
      <c r="B2168" s="7" t="s">
        <v>257</v>
      </c>
    </row>
    <row r="2169" spans="2:2" x14ac:dyDescent="0.2">
      <c r="B2169" s="7" t="s">
        <v>300</v>
      </c>
    </row>
    <row r="2170" spans="2:2" x14ac:dyDescent="0.2">
      <c r="B2170" s="7" t="s">
        <v>154</v>
      </c>
    </row>
    <row r="2171" spans="2:2" x14ac:dyDescent="0.2">
      <c r="B2171" s="7" t="s">
        <v>653</v>
      </c>
    </row>
    <row r="2172" spans="2:2" x14ac:dyDescent="0.2">
      <c r="B2172" s="7" t="s">
        <v>263</v>
      </c>
    </row>
    <row r="2173" spans="2:2" x14ac:dyDescent="0.2">
      <c r="B2173" s="7" t="s">
        <v>232</v>
      </c>
    </row>
    <row r="2174" spans="2:2" x14ac:dyDescent="0.2">
      <c r="B2174" s="7" t="s">
        <v>282</v>
      </c>
    </row>
    <row r="2175" spans="2:2" x14ac:dyDescent="0.2">
      <c r="B2175" s="7" t="s">
        <v>264</v>
      </c>
    </row>
    <row r="2176" spans="2:2" x14ac:dyDescent="0.2">
      <c r="B2176" s="7" t="s">
        <v>67</v>
      </c>
    </row>
    <row r="2177" spans="1:2" x14ac:dyDescent="0.2">
      <c r="B2177" s="7" t="s">
        <v>400</v>
      </c>
    </row>
    <row r="2178" spans="1:2" x14ac:dyDescent="0.2">
      <c r="B2178" s="7" t="s">
        <v>266</v>
      </c>
    </row>
    <row r="2179" spans="1:2" x14ac:dyDescent="0.2">
      <c r="B2179" s="7" t="s">
        <v>267</v>
      </c>
    </row>
    <row r="2180" spans="1:2" x14ac:dyDescent="0.2">
      <c r="B2180" s="7" t="s">
        <v>270</v>
      </c>
    </row>
    <row r="2181" spans="1:2" x14ac:dyDescent="0.2">
      <c r="B2181" s="7" t="s">
        <v>660</v>
      </c>
    </row>
    <row r="2182" spans="1:2" x14ac:dyDescent="0.2">
      <c r="B2182" s="7" t="s">
        <v>355</v>
      </c>
    </row>
    <row r="2183" spans="1:2" x14ac:dyDescent="0.2">
      <c r="B2183" s="7" t="s">
        <v>162</v>
      </c>
    </row>
    <row r="2184" spans="1:2" x14ac:dyDescent="0.2">
      <c r="B2184" s="7" t="s">
        <v>245</v>
      </c>
    </row>
    <row r="2185" spans="1:2" x14ac:dyDescent="0.2">
      <c r="B2185" s="7" t="s">
        <v>273</v>
      </c>
    </row>
    <row r="2186" spans="1:2" x14ac:dyDescent="0.2">
      <c r="B2186" s="7" t="s">
        <v>97</v>
      </c>
    </row>
    <row r="2187" spans="1:2" x14ac:dyDescent="0.2">
      <c r="B2187" s="7" t="s">
        <v>163</v>
      </c>
    </row>
    <row r="2188" spans="1:2" x14ac:dyDescent="0.2">
      <c r="B2188" s="7" t="s">
        <v>208</v>
      </c>
    </row>
    <row r="2189" spans="1:2" x14ac:dyDescent="0.2">
      <c r="B2189" s="7" t="s">
        <v>331</v>
      </c>
    </row>
    <row r="2190" spans="1:2" x14ac:dyDescent="0.2">
      <c r="B2190" s="7" t="s">
        <v>649</v>
      </c>
    </row>
    <row r="2191" spans="1:2" x14ac:dyDescent="0.2">
      <c r="B2191" s="7" t="s">
        <v>181</v>
      </c>
    </row>
    <row r="2192" spans="1:2" x14ac:dyDescent="0.2">
      <c r="A2192" s="7" t="s">
        <v>690</v>
      </c>
      <c r="B2192" s="7" t="s">
        <v>207</v>
      </c>
    </row>
    <row r="2193" spans="2:2" x14ac:dyDescent="0.2">
      <c r="B2193" s="7" t="s">
        <v>278</v>
      </c>
    </row>
    <row r="2194" spans="2:2" x14ac:dyDescent="0.2">
      <c r="B2194" s="7" t="s">
        <v>8</v>
      </c>
    </row>
    <row r="2195" spans="2:2" x14ac:dyDescent="0.2">
      <c r="B2195" s="7" t="s">
        <v>183</v>
      </c>
    </row>
    <row r="2196" spans="2:2" x14ac:dyDescent="0.2">
      <c r="B2196" s="7" t="s">
        <v>408</v>
      </c>
    </row>
    <row r="2197" spans="2:2" x14ac:dyDescent="0.2">
      <c r="B2197" s="7" t="s">
        <v>281</v>
      </c>
    </row>
    <row r="2198" spans="2:2" x14ac:dyDescent="0.2">
      <c r="B2198" s="7" t="s">
        <v>103</v>
      </c>
    </row>
    <row r="2199" spans="2:2" x14ac:dyDescent="0.2">
      <c r="B2199" s="7" t="s">
        <v>185</v>
      </c>
    </row>
    <row r="2200" spans="2:2" x14ac:dyDescent="0.2">
      <c r="B2200" s="7" t="s">
        <v>283</v>
      </c>
    </row>
    <row r="2201" spans="2:2" x14ac:dyDescent="0.2">
      <c r="B2201" s="7" t="s">
        <v>187</v>
      </c>
    </row>
    <row r="2202" spans="2:2" x14ac:dyDescent="0.2">
      <c r="B2202" s="7" t="s">
        <v>258</v>
      </c>
    </row>
    <row r="2203" spans="2:2" x14ac:dyDescent="0.2">
      <c r="B2203" s="7" t="s">
        <v>671</v>
      </c>
    </row>
    <row r="2204" spans="2:2" x14ac:dyDescent="0.2">
      <c r="B2204" s="7" t="s">
        <v>284</v>
      </c>
    </row>
    <row r="2205" spans="2:2" x14ac:dyDescent="0.2">
      <c r="B2205" s="7" t="s">
        <v>188</v>
      </c>
    </row>
    <row r="2206" spans="2:2" x14ac:dyDescent="0.2">
      <c r="B2206" s="7" t="s">
        <v>4</v>
      </c>
    </row>
    <row r="2207" spans="2:2" x14ac:dyDescent="0.2">
      <c r="B2207" s="7" t="s">
        <v>164</v>
      </c>
    </row>
    <row r="2208" spans="2:2" x14ac:dyDescent="0.2">
      <c r="B2208" s="7" t="s">
        <v>189</v>
      </c>
    </row>
    <row r="2209" spans="2:2" x14ac:dyDescent="0.2">
      <c r="B2209" s="7" t="s">
        <v>210</v>
      </c>
    </row>
    <row r="2210" spans="2:2" x14ac:dyDescent="0.2">
      <c r="B2210" s="7" t="s">
        <v>129</v>
      </c>
    </row>
    <row r="2211" spans="2:2" x14ac:dyDescent="0.2">
      <c r="B2211" s="7" t="s">
        <v>12</v>
      </c>
    </row>
    <row r="2212" spans="2:2" x14ac:dyDescent="0.2">
      <c r="B2212" s="7" t="s">
        <v>484</v>
      </c>
    </row>
    <row r="2213" spans="2:2" x14ac:dyDescent="0.2">
      <c r="B2213" s="7" t="s">
        <v>190</v>
      </c>
    </row>
    <row r="2214" spans="2:2" x14ac:dyDescent="0.2">
      <c r="B2214" s="7" t="s">
        <v>658</v>
      </c>
    </row>
    <row r="2215" spans="2:2" x14ac:dyDescent="0.2">
      <c r="B2215" s="7" t="s">
        <v>14</v>
      </c>
    </row>
    <row r="2216" spans="2:2" x14ac:dyDescent="0.2">
      <c r="B2216" s="7" t="s">
        <v>486</v>
      </c>
    </row>
    <row r="2217" spans="2:2" x14ac:dyDescent="0.2">
      <c r="B2217" s="7" t="s">
        <v>211</v>
      </c>
    </row>
    <row r="2218" spans="2:2" x14ac:dyDescent="0.2">
      <c r="B2218" s="7" t="s">
        <v>532</v>
      </c>
    </row>
    <row r="2219" spans="2:2" x14ac:dyDescent="0.2">
      <c r="B2219" s="7" t="s">
        <v>388</v>
      </c>
    </row>
    <row r="2220" spans="2:2" x14ac:dyDescent="0.2">
      <c r="B2220" s="7" t="s">
        <v>292</v>
      </c>
    </row>
    <row r="2221" spans="2:2" x14ac:dyDescent="0.2">
      <c r="B2221" s="7" t="s">
        <v>293</v>
      </c>
    </row>
    <row r="2222" spans="2:2" x14ac:dyDescent="0.2">
      <c r="B2222" s="7" t="s">
        <v>212</v>
      </c>
    </row>
    <row r="2223" spans="2:2" x14ac:dyDescent="0.2">
      <c r="B2223" s="7" t="s">
        <v>294</v>
      </c>
    </row>
    <row r="2224" spans="2:2" x14ac:dyDescent="0.2">
      <c r="B2224" s="7" t="s">
        <v>295</v>
      </c>
    </row>
    <row r="2225" spans="2:2" x14ac:dyDescent="0.2">
      <c r="B2225" s="7" t="s">
        <v>536</v>
      </c>
    </row>
    <row r="2226" spans="2:2" x14ac:dyDescent="0.2">
      <c r="B2226" s="7" t="s">
        <v>296</v>
      </c>
    </row>
    <row r="2227" spans="2:2" x14ac:dyDescent="0.2">
      <c r="B2227" s="7" t="s">
        <v>16</v>
      </c>
    </row>
    <row r="2228" spans="2:2" x14ac:dyDescent="0.2">
      <c r="B2228" s="7" t="s">
        <v>464</v>
      </c>
    </row>
    <row r="2229" spans="2:2" x14ac:dyDescent="0.2">
      <c r="B2229" s="7" t="s">
        <v>395</v>
      </c>
    </row>
    <row r="2230" spans="2:2" x14ac:dyDescent="0.2">
      <c r="B2230" s="7" t="s">
        <v>378</v>
      </c>
    </row>
    <row r="2231" spans="2:2" x14ac:dyDescent="0.2">
      <c r="B2231" s="7" t="s">
        <v>18</v>
      </c>
    </row>
    <row r="2232" spans="2:2" x14ac:dyDescent="0.2">
      <c r="B2232" s="7" t="s">
        <v>20</v>
      </c>
    </row>
    <row r="2233" spans="2:2" x14ac:dyDescent="0.2">
      <c r="B2233" s="7" t="s">
        <v>169</v>
      </c>
    </row>
    <row r="2234" spans="2:2" x14ac:dyDescent="0.2">
      <c r="B2234" s="7" t="s">
        <v>338</v>
      </c>
    </row>
    <row r="2235" spans="2:2" x14ac:dyDescent="0.2">
      <c r="B2235" s="7" t="s">
        <v>513</v>
      </c>
    </row>
    <row r="2236" spans="2:2" x14ac:dyDescent="0.2">
      <c r="B2236" s="7" t="s">
        <v>533</v>
      </c>
    </row>
    <row r="2237" spans="2:2" x14ac:dyDescent="0.2">
      <c r="B2237" s="7" t="s">
        <v>389</v>
      </c>
    </row>
    <row r="2238" spans="2:2" x14ac:dyDescent="0.2">
      <c r="B2238" s="7" t="s">
        <v>298</v>
      </c>
    </row>
    <row r="2239" spans="2:2" x14ac:dyDescent="0.2">
      <c r="B2239" s="7" t="s">
        <v>172</v>
      </c>
    </row>
    <row r="2240" spans="2:2" x14ac:dyDescent="0.2">
      <c r="B2240" s="7" t="s">
        <v>466</v>
      </c>
    </row>
    <row r="2241" spans="2:2" x14ac:dyDescent="0.2">
      <c r="B2241" s="7" t="s">
        <v>139</v>
      </c>
    </row>
    <row r="2242" spans="2:2" x14ac:dyDescent="0.2">
      <c r="B2242" s="7" t="s">
        <v>27</v>
      </c>
    </row>
    <row r="2243" spans="2:2" x14ac:dyDescent="0.2">
      <c r="B2243" s="7" t="s">
        <v>246</v>
      </c>
    </row>
    <row r="2244" spans="2:2" x14ac:dyDescent="0.2">
      <c r="B2244" s="7" t="s">
        <v>516</v>
      </c>
    </row>
    <row r="2245" spans="2:2" x14ac:dyDescent="0.2">
      <c r="B2245" s="7" t="s">
        <v>249</v>
      </c>
    </row>
    <row r="2246" spans="2:2" x14ac:dyDescent="0.2">
      <c r="B2246" s="7" t="s">
        <v>217</v>
      </c>
    </row>
    <row r="2247" spans="2:2" x14ac:dyDescent="0.2">
      <c r="B2247" s="7" t="s">
        <v>7</v>
      </c>
    </row>
    <row r="2248" spans="2:2" x14ac:dyDescent="0.2">
      <c r="B2248" s="7" t="s">
        <v>302</v>
      </c>
    </row>
    <row r="2249" spans="2:2" x14ac:dyDescent="0.2">
      <c r="B2249" s="7" t="s">
        <v>33</v>
      </c>
    </row>
    <row r="2250" spans="2:2" x14ac:dyDescent="0.2">
      <c r="B2250" s="7" t="s">
        <v>250</v>
      </c>
    </row>
    <row r="2251" spans="2:2" x14ac:dyDescent="0.2">
      <c r="B2251" s="7" t="s">
        <v>194</v>
      </c>
    </row>
    <row r="2252" spans="2:2" x14ac:dyDescent="0.2">
      <c r="B2252" s="7" t="s">
        <v>195</v>
      </c>
    </row>
    <row r="2253" spans="2:2" x14ac:dyDescent="0.2">
      <c r="B2253" s="7" t="s">
        <v>36</v>
      </c>
    </row>
    <row r="2254" spans="2:2" x14ac:dyDescent="0.2">
      <c r="B2254" s="7" t="s">
        <v>379</v>
      </c>
    </row>
    <row r="2255" spans="2:2" x14ac:dyDescent="0.2">
      <c r="B2255" s="7" t="s">
        <v>604</v>
      </c>
    </row>
    <row r="2256" spans="2:2" x14ac:dyDescent="0.2">
      <c r="B2256" s="7" t="s">
        <v>380</v>
      </c>
    </row>
    <row r="2257" spans="2:2" x14ac:dyDescent="0.2">
      <c r="B2257" s="7" t="s">
        <v>304</v>
      </c>
    </row>
    <row r="2258" spans="2:2" x14ac:dyDescent="0.2">
      <c r="B2258" s="7" t="s">
        <v>255</v>
      </c>
    </row>
    <row r="2259" spans="2:2" x14ac:dyDescent="0.2">
      <c r="B2259" s="7" t="s">
        <v>196</v>
      </c>
    </row>
    <row r="2260" spans="2:2" x14ac:dyDescent="0.2">
      <c r="B2260" s="7" t="s">
        <v>381</v>
      </c>
    </row>
    <row r="2261" spans="2:2" x14ac:dyDescent="0.2">
      <c r="B2261" s="7" t="s">
        <v>308</v>
      </c>
    </row>
    <row r="2262" spans="2:2" x14ac:dyDescent="0.2">
      <c r="B2262" s="7" t="s">
        <v>363</v>
      </c>
    </row>
    <row r="2263" spans="2:2" x14ac:dyDescent="0.2">
      <c r="B2263" s="7" t="s">
        <v>137</v>
      </c>
    </row>
    <row r="2264" spans="2:2" x14ac:dyDescent="0.2">
      <c r="B2264" s="7" t="s">
        <v>340</v>
      </c>
    </row>
    <row r="2265" spans="2:2" x14ac:dyDescent="0.2">
      <c r="B2265" s="7" t="s">
        <v>545</v>
      </c>
    </row>
    <row r="2266" spans="2:2" x14ac:dyDescent="0.2">
      <c r="B2266" s="7" t="s">
        <v>521</v>
      </c>
    </row>
    <row r="2267" spans="2:2" x14ac:dyDescent="0.2">
      <c r="B2267" s="7" t="s">
        <v>221</v>
      </c>
    </row>
    <row r="2268" spans="2:2" x14ac:dyDescent="0.2">
      <c r="B2268" s="7" t="s">
        <v>222</v>
      </c>
    </row>
    <row r="2269" spans="2:2" x14ac:dyDescent="0.2">
      <c r="B2269" s="7" t="s">
        <v>316</v>
      </c>
    </row>
    <row r="2270" spans="2:2" x14ac:dyDescent="0.2">
      <c r="B2270" s="7" t="s">
        <v>417</v>
      </c>
    </row>
    <row r="2271" spans="2:2" x14ac:dyDescent="0.2">
      <c r="B2271" s="7" t="s">
        <v>177</v>
      </c>
    </row>
    <row r="2272" spans="2:2" x14ac:dyDescent="0.2">
      <c r="B2272" s="7" t="s">
        <v>397</v>
      </c>
    </row>
    <row r="2273" spans="2:2" x14ac:dyDescent="0.2">
      <c r="B2273" s="7" t="s">
        <v>178</v>
      </c>
    </row>
    <row r="2274" spans="2:2" x14ac:dyDescent="0.2">
      <c r="B2274" s="7" t="s">
        <v>52</v>
      </c>
    </row>
    <row r="2275" spans="2:2" x14ac:dyDescent="0.2">
      <c r="B2275" s="7" t="s">
        <v>317</v>
      </c>
    </row>
    <row r="2276" spans="2:2" x14ac:dyDescent="0.2">
      <c r="B2276" s="7" t="s">
        <v>180</v>
      </c>
    </row>
    <row r="2277" spans="2:2" x14ac:dyDescent="0.2">
      <c r="B2277" s="7" t="s">
        <v>366</v>
      </c>
    </row>
    <row r="2278" spans="2:2" x14ac:dyDescent="0.2">
      <c r="B2278" s="7" t="s">
        <v>341</v>
      </c>
    </row>
    <row r="2279" spans="2:2" x14ac:dyDescent="0.2">
      <c r="B2279" s="7" t="s">
        <v>260</v>
      </c>
    </row>
    <row r="2280" spans="2:2" x14ac:dyDescent="0.2">
      <c r="B2280" s="7" t="s">
        <v>223</v>
      </c>
    </row>
    <row r="2281" spans="2:2" x14ac:dyDescent="0.2">
      <c r="B2281" s="7" t="s">
        <v>468</v>
      </c>
    </row>
    <row r="2282" spans="2:2" x14ac:dyDescent="0.2">
      <c r="B2282" s="7" t="s">
        <v>150</v>
      </c>
    </row>
    <row r="2283" spans="2:2" x14ac:dyDescent="0.2">
      <c r="B2283" s="7" t="s">
        <v>108</v>
      </c>
    </row>
    <row r="2284" spans="2:2" x14ac:dyDescent="0.2">
      <c r="B2284" s="7" t="s">
        <v>471</v>
      </c>
    </row>
    <row r="2285" spans="2:2" x14ac:dyDescent="0.2">
      <c r="B2285" s="7" t="s">
        <v>261</v>
      </c>
    </row>
    <row r="2286" spans="2:2" x14ac:dyDescent="0.2">
      <c r="B2286" s="7" t="s">
        <v>109</v>
      </c>
    </row>
    <row r="2287" spans="2:2" x14ac:dyDescent="0.2">
      <c r="B2287" s="7" t="s">
        <v>353</v>
      </c>
    </row>
    <row r="2288" spans="2:2" x14ac:dyDescent="0.2">
      <c r="B2288" s="7" t="s">
        <v>367</v>
      </c>
    </row>
    <row r="2289" spans="2:2" x14ac:dyDescent="0.2">
      <c r="B2289" s="7" t="s">
        <v>111</v>
      </c>
    </row>
    <row r="2290" spans="2:2" x14ac:dyDescent="0.2">
      <c r="B2290" s="7" t="s">
        <v>59</v>
      </c>
    </row>
    <row r="2291" spans="2:2" x14ac:dyDescent="0.2">
      <c r="B2291" s="7" t="s">
        <v>390</v>
      </c>
    </row>
    <row r="2292" spans="2:2" x14ac:dyDescent="0.2">
      <c r="B2292" s="7" t="s">
        <v>306</v>
      </c>
    </row>
    <row r="2293" spans="2:2" x14ac:dyDescent="0.2">
      <c r="B2293" s="7" t="s">
        <v>321</v>
      </c>
    </row>
    <row r="2294" spans="2:2" x14ac:dyDescent="0.2">
      <c r="B2294" s="7" t="s">
        <v>343</v>
      </c>
    </row>
    <row r="2295" spans="2:2" x14ac:dyDescent="0.2">
      <c r="B2295" s="7" t="s">
        <v>70</v>
      </c>
    </row>
    <row r="2296" spans="2:2" x14ac:dyDescent="0.2">
      <c r="B2296" s="7" t="s">
        <v>72</v>
      </c>
    </row>
    <row r="2297" spans="2:2" x14ac:dyDescent="0.2">
      <c r="B2297" s="7" t="s">
        <v>265</v>
      </c>
    </row>
    <row r="2298" spans="2:2" x14ac:dyDescent="0.2">
      <c r="B2298" s="7" t="s">
        <v>158</v>
      </c>
    </row>
    <row r="2299" spans="2:2" x14ac:dyDescent="0.2">
      <c r="B2299" s="7" t="s">
        <v>226</v>
      </c>
    </row>
    <row r="2300" spans="2:2" x14ac:dyDescent="0.2">
      <c r="B2300" s="7" t="s">
        <v>75</v>
      </c>
    </row>
    <row r="2301" spans="2:2" x14ac:dyDescent="0.2">
      <c r="B2301" s="7" t="s">
        <v>529</v>
      </c>
    </row>
    <row r="2302" spans="2:2" x14ac:dyDescent="0.2">
      <c r="B2302" s="7" t="s">
        <v>375</v>
      </c>
    </row>
    <row r="2303" spans="2:2" x14ac:dyDescent="0.2">
      <c r="B2303" s="7" t="s">
        <v>391</v>
      </c>
    </row>
    <row r="2304" spans="2:2" x14ac:dyDescent="0.2">
      <c r="B2304" s="7" t="s">
        <v>202</v>
      </c>
    </row>
    <row r="2305" spans="2:2" x14ac:dyDescent="0.2">
      <c r="B2305" s="7" t="s">
        <v>118</v>
      </c>
    </row>
    <row r="2306" spans="2:2" x14ac:dyDescent="0.2">
      <c r="B2306" s="7" t="s">
        <v>269</v>
      </c>
    </row>
    <row r="2307" spans="2:2" x14ac:dyDescent="0.2">
      <c r="B2307" s="7" t="s">
        <v>161</v>
      </c>
    </row>
    <row r="2308" spans="2:2" x14ac:dyDescent="0.2">
      <c r="B2308" s="7" t="s">
        <v>271</v>
      </c>
    </row>
    <row r="2309" spans="2:2" x14ac:dyDescent="0.2">
      <c r="B2309" s="7" t="s">
        <v>327</v>
      </c>
    </row>
    <row r="2310" spans="2:2" x14ac:dyDescent="0.2">
      <c r="B2310" s="7" t="s">
        <v>95</v>
      </c>
    </row>
    <row r="2311" spans="2:2" x14ac:dyDescent="0.2">
      <c r="B2311" s="7" t="s">
        <v>382</v>
      </c>
    </row>
    <row r="2312" spans="2:2" x14ac:dyDescent="0.2">
      <c r="B2312" s="7" t="s">
        <v>384</v>
      </c>
    </row>
    <row r="2313" spans="2:2" x14ac:dyDescent="0.2">
      <c r="B2313" s="7" t="s">
        <v>376</v>
      </c>
    </row>
    <row r="2314" spans="2:2" x14ac:dyDescent="0.2">
      <c r="B2314" s="7" t="s">
        <v>368</v>
      </c>
    </row>
    <row r="2315" spans="2:2" x14ac:dyDescent="0.2">
      <c r="B2315" s="7" t="s">
        <v>228</v>
      </c>
    </row>
    <row r="2316" spans="2:2" x14ac:dyDescent="0.2">
      <c r="B2316" s="7" t="s">
        <v>669</v>
      </c>
    </row>
    <row r="2317" spans="2:2" x14ac:dyDescent="0.2">
      <c r="B2317" s="7" t="s">
        <v>595</v>
      </c>
    </row>
    <row r="2318" spans="2:2" x14ac:dyDescent="0.2">
      <c r="B2318" s="7" t="s">
        <v>230</v>
      </c>
    </row>
    <row r="2319" spans="2:2" x14ac:dyDescent="0.2">
      <c r="B2319" s="7" t="s">
        <v>333</v>
      </c>
    </row>
    <row r="2320" spans="2:2" x14ac:dyDescent="0.2">
      <c r="B2320" s="7" t="s">
        <v>508</v>
      </c>
    </row>
    <row r="2321" spans="1:2" x14ac:dyDescent="0.2">
      <c r="B2321" s="7" t="s">
        <v>119</v>
      </c>
    </row>
    <row r="2322" spans="1:2" x14ac:dyDescent="0.2">
      <c r="B2322" s="7" t="s">
        <v>275</v>
      </c>
    </row>
    <row r="2323" spans="1:2" x14ac:dyDescent="0.2">
      <c r="B2323" s="7" t="s">
        <v>101</v>
      </c>
    </row>
    <row r="2324" spans="1:2" x14ac:dyDescent="0.2">
      <c r="B2324" s="7" t="s">
        <v>530</v>
      </c>
    </row>
    <row r="2325" spans="1:2" x14ac:dyDescent="0.2">
      <c r="B2325" s="7" t="s">
        <v>145</v>
      </c>
    </row>
    <row r="2326" spans="1:2" x14ac:dyDescent="0.2">
      <c r="B2326" s="7" t="s">
        <v>276</v>
      </c>
    </row>
    <row r="2327" spans="1:2" x14ac:dyDescent="0.2">
      <c r="B2327" s="7" t="s">
        <v>102</v>
      </c>
    </row>
    <row r="2328" spans="1:2" x14ac:dyDescent="0.2">
      <c r="B2328" s="7" t="s">
        <v>405</v>
      </c>
    </row>
    <row r="2329" spans="1:2" x14ac:dyDescent="0.2">
      <c r="B2329" s="7" t="s">
        <v>182</v>
      </c>
    </row>
    <row r="2330" spans="1:2" x14ac:dyDescent="0.2">
      <c r="B2330" s="7" t="s">
        <v>131</v>
      </c>
    </row>
    <row r="2331" spans="1:2" x14ac:dyDescent="0.2">
      <c r="B2331" s="7" t="s">
        <v>613</v>
      </c>
    </row>
    <row r="2332" spans="1:2" x14ac:dyDescent="0.2">
      <c r="B2332" s="7" t="s">
        <v>122</v>
      </c>
    </row>
    <row r="2333" spans="1:2" x14ac:dyDescent="0.2">
      <c r="A2333" s="7" t="s">
        <v>696</v>
      </c>
      <c r="B2333" s="7" t="s">
        <v>683</v>
      </c>
    </row>
    <row r="2334" spans="1:2" x14ac:dyDescent="0.2">
      <c r="B2334" s="7" t="s">
        <v>124</v>
      </c>
    </row>
    <row r="2335" spans="1:2" x14ac:dyDescent="0.2">
      <c r="B2335" s="7" t="s">
        <v>11</v>
      </c>
    </row>
    <row r="2336" spans="1:2" x14ac:dyDescent="0.2">
      <c r="B2336" s="7" t="s">
        <v>285</v>
      </c>
    </row>
    <row r="2337" spans="2:2" x14ac:dyDescent="0.2">
      <c r="B2337" s="7" t="s">
        <v>286</v>
      </c>
    </row>
    <row r="2338" spans="2:2" x14ac:dyDescent="0.2">
      <c r="B2338" s="7" t="s">
        <v>410</v>
      </c>
    </row>
    <row r="2339" spans="2:2" x14ac:dyDescent="0.2">
      <c r="B2339" s="7" t="s">
        <v>288</v>
      </c>
    </row>
    <row r="2340" spans="2:2" x14ac:dyDescent="0.2">
      <c r="B2340" s="7" t="s">
        <v>13</v>
      </c>
    </row>
    <row r="2341" spans="2:2" x14ac:dyDescent="0.2">
      <c r="B2341" s="7" t="s">
        <v>289</v>
      </c>
    </row>
    <row r="2342" spans="2:2" x14ac:dyDescent="0.2">
      <c r="B2342" s="7" t="s">
        <v>374</v>
      </c>
    </row>
    <row r="2343" spans="2:2" x14ac:dyDescent="0.2">
      <c r="B2343" s="7" t="s">
        <v>106</v>
      </c>
    </row>
    <row r="2344" spans="2:2" x14ac:dyDescent="0.2">
      <c r="B2344" s="7" t="s">
        <v>239</v>
      </c>
    </row>
    <row r="2345" spans="2:2" x14ac:dyDescent="0.2">
      <c r="B2345" s="7" t="s">
        <v>138</v>
      </c>
    </row>
    <row r="2346" spans="2:2" x14ac:dyDescent="0.2">
      <c r="B2346" s="7" t="s">
        <v>214</v>
      </c>
    </row>
    <row r="2347" spans="2:2" x14ac:dyDescent="0.2">
      <c r="B2347" s="7" t="s">
        <v>22</v>
      </c>
    </row>
    <row r="2348" spans="2:2" x14ac:dyDescent="0.2">
      <c r="B2348" s="7" t="s">
        <v>297</v>
      </c>
    </row>
    <row r="2349" spans="2:2" x14ac:dyDescent="0.2">
      <c r="B2349" s="7" t="s">
        <v>170</v>
      </c>
    </row>
    <row r="2350" spans="2:2" x14ac:dyDescent="0.2">
      <c r="B2350" s="7" t="s">
        <v>25</v>
      </c>
    </row>
    <row r="2351" spans="2:2" x14ac:dyDescent="0.2">
      <c r="B2351" s="7" t="s">
        <v>242</v>
      </c>
    </row>
    <row r="2352" spans="2:2" x14ac:dyDescent="0.2">
      <c r="B2352" s="7" t="s">
        <v>243</v>
      </c>
    </row>
    <row r="2353" spans="2:2" x14ac:dyDescent="0.2">
      <c r="B2353" s="7" t="s">
        <v>240</v>
      </c>
    </row>
    <row r="2354" spans="2:2" x14ac:dyDescent="0.2">
      <c r="B2354" s="7" t="s">
        <v>634</v>
      </c>
    </row>
    <row r="2355" spans="2:2" x14ac:dyDescent="0.2">
      <c r="B2355" s="7" t="s">
        <v>541</v>
      </c>
    </row>
    <row r="2356" spans="2:2" x14ac:dyDescent="0.2">
      <c r="B2356" s="7" t="s">
        <v>247</v>
      </c>
    </row>
    <row r="2357" spans="2:2" x14ac:dyDescent="0.2">
      <c r="B2357" s="7" t="s">
        <v>299</v>
      </c>
    </row>
    <row r="2358" spans="2:2" x14ac:dyDescent="0.2">
      <c r="B2358" s="7" t="s">
        <v>643</v>
      </c>
    </row>
    <row r="2359" spans="2:2" x14ac:dyDescent="0.2">
      <c r="B2359" s="7" t="s">
        <v>191</v>
      </c>
    </row>
    <row r="2360" spans="2:2" x14ac:dyDescent="0.2">
      <c r="B2360" s="7" t="s">
        <v>253</v>
      </c>
    </row>
    <row r="2361" spans="2:2" x14ac:dyDescent="0.2">
      <c r="B2361" s="7" t="s">
        <v>655</v>
      </c>
    </row>
    <row r="2362" spans="2:2" x14ac:dyDescent="0.2">
      <c r="B2362" s="7" t="s">
        <v>667</v>
      </c>
    </row>
    <row r="2363" spans="2:2" x14ac:dyDescent="0.2">
      <c r="B2363" s="7" t="s">
        <v>451</v>
      </c>
    </row>
    <row r="2364" spans="2:2" x14ac:dyDescent="0.2">
      <c r="B2364" s="7" t="s">
        <v>146</v>
      </c>
    </row>
    <row r="2365" spans="2:2" x14ac:dyDescent="0.2">
      <c r="B2365" s="7" t="s">
        <v>303</v>
      </c>
    </row>
    <row r="2366" spans="2:2" x14ac:dyDescent="0.2">
      <c r="B2366" s="7" t="s">
        <v>254</v>
      </c>
    </row>
    <row r="2367" spans="2:2" x14ac:dyDescent="0.2">
      <c r="B2367" s="7" t="s">
        <v>542</v>
      </c>
    </row>
    <row r="2368" spans="2:2" x14ac:dyDescent="0.2">
      <c r="B2368" s="7" t="s">
        <v>305</v>
      </c>
    </row>
    <row r="2369" spans="2:2" x14ac:dyDescent="0.2">
      <c r="B2369" s="7" t="s">
        <v>128</v>
      </c>
    </row>
    <row r="2370" spans="2:2" x14ac:dyDescent="0.2">
      <c r="B2370" s="7" t="s">
        <v>41</v>
      </c>
    </row>
    <row r="2371" spans="2:2" x14ac:dyDescent="0.2">
      <c r="B2371" s="7" t="s">
        <v>141</v>
      </c>
    </row>
    <row r="2372" spans="2:2" x14ac:dyDescent="0.2">
      <c r="B2372" s="7" t="s">
        <v>198</v>
      </c>
    </row>
    <row r="2373" spans="2:2" x14ac:dyDescent="0.2">
      <c r="B2373" s="7" t="s">
        <v>199</v>
      </c>
    </row>
    <row r="2374" spans="2:2" x14ac:dyDescent="0.2">
      <c r="B2374" s="7" t="s">
        <v>174</v>
      </c>
    </row>
    <row r="2375" spans="2:2" x14ac:dyDescent="0.2">
      <c r="B2375" s="7" t="s">
        <v>313</v>
      </c>
    </row>
    <row r="2376" spans="2:2" x14ac:dyDescent="0.2">
      <c r="B2376" s="7" t="s">
        <v>314</v>
      </c>
    </row>
    <row r="2377" spans="2:2" x14ac:dyDescent="0.2">
      <c r="B2377" s="7" t="s">
        <v>351</v>
      </c>
    </row>
    <row r="2378" spans="2:2" x14ac:dyDescent="0.2">
      <c r="B2378" s="7" t="s">
        <v>610</v>
      </c>
    </row>
    <row r="2379" spans="2:2" x14ac:dyDescent="0.2">
      <c r="B2379" s="7" t="s">
        <v>611</v>
      </c>
    </row>
    <row r="2380" spans="2:2" x14ac:dyDescent="0.2">
      <c r="B2380" s="7" t="s">
        <v>686</v>
      </c>
    </row>
    <row r="2381" spans="2:2" x14ac:dyDescent="0.2">
      <c r="B2381" s="7" t="s">
        <v>398</v>
      </c>
    </row>
    <row r="2382" spans="2:2" x14ac:dyDescent="0.2">
      <c r="B2382" s="7" t="s">
        <v>419</v>
      </c>
    </row>
    <row r="2383" spans="2:2" x14ac:dyDescent="0.2">
      <c r="B2383" s="7" t="s">
        <v>215</v>
      </c>
    </row>
    <row r="2384" spans="2:2" x14ac:dyDescent="0.2">
      <c r="B2384" s="7" t="s">
        <v>318</v>
      </c>
    </row>
    <row r="2385" spans="2:2" x14ac:dyDescent="0.2">
      <c r="B2385" s="7" t="s">
        <v>224</v>
      </c>
    </row>
    <row r="2386" spans="2:2" x14ac:dyDescent="0.2">
      <c r="B2386" s="7" t="s">
        <v>262</v>
      </c>
    </row>
    <row r="2387" spans="2:2" x14ac:dyDescent="0.2">
      <c r="B2387" s="7" t="s">
        <v>320</v>
      </c>
    </row>
    <row r="2388" spans="2:2" x14ac:dyDescent="0.2">
      <c r="B2388" s="7" t="s">
        <v>632</v>
      </c>
    </row>
    <row r="2389" spans="2:2" x14ac:dyDescent="0.2">
      <c r="B2389" s="7" t="s">
        <v>501</v>
      </c>
    </row>
    <row r="2390" spans="2:2" x14ac:dyDescent="0.2">
      <c r="B2390" s="7" t="s">
        <v>64</v>
      </c>
    </row>
    <row r="2391" spans="2:2" x14ac:dyDescent="0.2">
      <c r="B2391" s="7" t="s">
        <v>112</v>
      </c>
    </row>
    <row r="2392" spans="2:2" x14ac:dyDescent="0.2">
      <c r="B2392" s="7" t="s">
        <v>323</v>
      </c>
    </row>
    <row r="2393" spans="2:2" x14ac:dyDescent="0.2">
      <c r="B2393" s="7" t="s">
        <v>527</v>
      </c>
    </row>
    <row r="2394" spans="2:2" x14ac:dyDescent="0.2">
      <c r="B2394" s="7" t="s">
        <v>225</v>
      </c>
    </row>
    <row r="2395" spans="2:2" x14ac:dyDescent="0.2">
      <c r="B2395" s="7" t="s">
        <v>268</v>
      </c>
    </row>
    <row r="2396" spans="2:2" x14ac:dyDescent="0.2">
      <c r="B2396" s="7" t="s">
        <v>78</v>
      </c>
    </row>
    <row r="2397" spans="2:2" x14ac:dyDescent="0.2">
      <c r="B2397" s="7" t="s">
        <v>81</v>
      </c>
    </row>
    <row r="2398" spans="2:2" x14ac:dyDescent="0.2">
      <c r="B2398" s="7" t="s">
        <v>344</v>
      </c>
    </row>
    <row r="2399" spans="2:2" x14ac:dyDescent="0.2">
      <c r="B2399" s="7" t="s">
        <v>85</v>
      </c>
    </row>
    <row r="2400" spans="2:2" x14ac:dyDescent="0.2">
      <c r="B2400" s="7" t="s">
        <v>83</v>
      </c>
    </row>
    <row r="2401" spans="2:2" x14ac:dyDescent="0.2">
      <c r="B2401" s="7" t="s">
        <v>84</v>
      </c>
    </row>
    <row r="2402" spans="2:2" x14ac:dyDescent="0.2">
      <c r="B2402" s="7" t="s">
        <v>86</v>
      </c>
    </row>
    <row r="2403" spans="2:2" x14ac:dyDescent="0.2">
      <c r="B2403" s="7" t="s">
        <v>87</v>
      </c>
    </row>
    <row r="2404" spans="2:2" x14ac:dyDescent="0.2">
      <c r="B2404" s="7" t="s">
        <v>88</v>
      </c>
    </row>
    <row r="2405" spans="2:2" x14ac:dyDescent="0.2">
      <c r="B2405" s="7" t="s">
        <v>89</v>
      </c>
    </row>
    <row r="2406" spans="2:2" x14ac:dyDescent="0.2">
      <c r="B2406" s="7" t="s">
        <v>90</v>
      </c>
    </row>
    <row r="2407" spans="2:2" x14ac:dyDescent="0.2">
      <c r="B2407" s="7" t="s">
        <v>91</v>
      </c>
    </row>
    <row r="2408" spans="2:2" x14ac:dyDescent="0.2">
      <c r="B2408" s="7" t="s">
        <v>160</v>
      </c>
    </row>
    <row r="2409" spans="2:2" x14ac:dyDescent="0.2">
      <c r="B2409" s="7" t="s">
        <v>92</v>
      </c>
    </row>
    <row r="2410" spans="2:2" x14ac:dyDescent="0.2">
      <c r="B2410" s="7" t="s">
        <v>94</v>
      </c>
    </row>
    <row r="2411" spans="2:2" x14ac:dyDescent="0.2">
      <c r="B2411" s="7" t="s">
        <v>534</v>
      </c>
    </row>
    <row r="2412" spans="2:2" x14ac:dyDescent="0.2">
      <c r="B2412" s="7" t="s">
        <v>326</v>
      </c>
    </row>
    <row r="2413" spans="2:2" x14ac:dyDescent="0.2">
      <c r="B2413" s="7" t="s">
        <v>227</v>
      </c>
    </row>
    <row r="2414" spans="2:2" x14ac:dyDescent="0.2">
      <c r="B2414" s="7" t="s">
        <v>328</v>
      </c>
    </row>
    <row r="2415" spans="2:2" x14ac:dyDescent="0.2">
      <c r="B2415" s="7" t="s">
        <v>330</v>
      </c>
    </row>
    <row r="2416" spans="2:2" x14ac:dyDescent="0.2">
      <c r="B2416" s="7" t="s">
        <v>277</v>
      </c>
    </row>
    <row r="2417" spans="1:2" x14ac:dyDescent="0.2">
      <c r="B2417" s="7" t="s">
        <v>370</v>
      </c>
    </row>
    <row r="2418" spans="1:2" x14ac:dyDescent="0.2">
      <c r="B2418" s="7" t="s">
        <v>334</v>
      </c>
    </row>
    <row r="2419" spans="1:2" x14ac:dyDescent="0.2">
      <c r="B2419" s="7" t="s">
        <v>231</v>
      </c>
    </row>
    <row r="2420" spans="1:2" x14ac:dyDescent="0.2">
      <c r="B2420" s="7" t="s">
        <v>204</v>
      </c>
    </row>
    <row r="2421" spans="1:2" x14ac:dyDescent="0.2">
      <c r="B2421" s="7" t="s">
        <v>346</v>
      </c>
    </row>
    <row r="2422" spans="1:2" x14ac:dyDescent="0.2">
      <c r="A2422" s="7" t="s">
        <v>685</v>
      </c>
      <c r="B2422" s="7" t="s">
        <v>614</v>
      </c>
    </row>
    <row r="2423" spans="1:2" x14ac:dyDescent="0.2">
      <c r="B2423" s="7" t="s">
        <v>205</v>
      </c>
    </row>
    <row r="2424" spans="1:2" x14ac:dyDescent="0.2">
      <c r="B2424" s="7" t="s">
        <v>237</v>
      </c>
    </row>
    <row r="2425" spans="1:2" x14ac:dyDescent="0.2">
      <c r="B2425" s="7" t="s">
        <v>238</v>
      </c>
    </row>
    <row r="2426" spans="1:2" x14ac:dyDescent="0.2">
      <c r="B2426" s="7" t="s">
        <v>621</v>
      </c>
    </row>
    <row r="2427" spans="1:2" x14ac:dyDescent="0.2">
      <c r="B2427" s="7" t="s">
        <v>241</v>
      </c>
    </row>
    <row r="2428" spans="1:2" x14ac:dyDescent="0.2">
      <c r="B2428" s="7" t="s">
        <v>663</v>
      </c>
    </row>
    <row r="2429" spans="1:2" x14ac:dyDescent="0.2">
      <c r="B2429" s="7" t="s">
        <v>31</v>
      </c>
    </row>
    <row r="2430" spans="1:2" x14ac:dyDescent="0.2">
      <c r="B2430" s="7" t="s">
        <v>492</v>
      </c>
    </row>
    <row r="2431" spans="1:2" x14ac:dyDescent="0.2">
      <c r="B2431" s="7" t="s">
        <v>564</v>
      </c>
    </row>
    <row r="2432" spans="1:2" x14ac:dyDescent="0.2">
      <c r="B2432" s="7" t="s">
        <v>449</v>
      </c>
    </row>
    <row r="2433" spans="2:2" x14ac:dyDescent="0.2">
      <c r="B2433" s="7" t="s">
        <v>107</v>
      </c>
    </row>
    <row r="2434" spans="2:2" x14ac:dyDescent="0.2">
      <c r="B2434" s="7" t="s">
        <v>219</v>
      </c>
    </row>
    <row r="2435" spans="2:2" x14ac:dyDescent="0.2">
      <c r="B2435" s="7" t="s">
        <v>229</v>
      </c>
    </row>
    <row r="2436" spans="2:2" x14ac:dyDescent="0.2">
      <c r="B2436" s="7" t="s">
        <v>256</v>
      </c>
    </row>
    <row r="2437" spans="2:2" x14ac:dyDescent="0.2">
      <c r="B2437" s="7" t="s">
        <v>38</v>
      </c>
    </row>
    <row r="2438" spans="2:2" x14ac:dyDescent="0.2">
      <c r="B2438" s="7" t="s">
        <v>311</v>
      </c>
    </row>
    <row r="2439" spans="2:2" x14ac:dyDescent="0.2">
      <c r="B2439" s="7" t="s">
        <v>220</v>
      </c>
    </row>
    <row r="2440" spans="2:2" x14ac:dyDescent="0.2">
      <c r="B2440" s="7" t="s">
        <v>393</v>
      </c>
    </row>
    <row r="2441" spans="2:2" x14ac:dyDescent="0.2">
      <c r="B2441" s="7" t="s">
        <v>200</v>
      </c>
    </row>
    <row r="2442" spans="2:2" x14ac:dyDescent="0.2">
      <c r="B2442" s="7" t="s">
        <v>364</v>
      </c>
    </row>
    <row r="2443" spans="2:2" x14ac:dyDescent="0.2">
      <c r="B2443" s="7" t="s">
        <v>134</v>
      </c>
    </row>
    <row r="2444" spans="2:2" x14ac:dyDescent="0.2">
      <c r="B2444" s="7" t="s">
        <v>55</v>
      </c>
    </row>
    <row r="2445" spans="2:2" x14ac:dyDescent="0.2">
      <c r="B2445" s="7" t="s">
        <v>616</v>
      </c>
    </row>
    <row r="2446" spans="2:2" x14ac:dyDescent="0.2">
      <c r="B2446" s="7" t="s">
        <v>62</v>
      </c>
    </row>
    <row r="2447" spans="2:2" x14ac:dyDescent="0.2">
      <c r="B2447" s="7" t="s">
        <v>201</v>
      </c>
    </row>
    <row r="2448" spans="2:2" x14ac:dyDescent="0.2">
      <c r="B2448" s="7" t="s">
        <v>114</v>
      </c>
    </row>
    <row r="2449" spans="1:2" x14ac:dyDescent="0.2">
      <c r="B2449" s="7" t="s">
        <v>116</v>
      </c>
    </row>
    <row r="2450" spans="1:2" x14ac:dyDescent="0.2">
      <c r="B2450" s="7" t="s">
        <v>117</v>
      </c>
    </row>
    <row r="2451" spans="1:2" x14ac:dyDescent="0.2">
      <c r="B2451" s="7" t="s">
        <v>383</v>
      </c>
    </row>
    <row r="2452" spans="1:2" x14ac:dyDescent="0.2">
      <c r="B2452" s="7" t="s">
        <v>272</v>
      </c>
    </row>
    <row r="2453" spans="1:2" x14ac:dyDescent="0.2">
      <c r="B2453" s="7" t="s">
        <v>203</v>
      </c>
    </row>
    <row r="2454" spans="1:2" x14ac:dyDescent="0.2">
      <c r="B2454" s="7" t="s">
        <v>537</v>
      </c>
    </row>
    <row r="2455" spans="1:2" x14ac:dyDescent="0.2">
      <c r="B2455" s="7" t="s">
        <v>539</v>
      </c>
    </row>
    <row r="2456" spans="1:2" x14ac:dyDescent="0.2">
      <c r="B2456" s="7" t="s">
        <v>98</v>
      </c>
    </row>
    <row r="2457" spans="1:2" x14ac:dyDescent="0.2">
      <c r="B2457" s="7" t="s">
        <v>99</v>
      </c>
    </row>
    <row r="2458" spans="1:2" x14ac:dyDescent="0.2">
      <c r="B2458" s="7" t="s">
        <v>100</v>
      </c>
    </row>
    <row r="2459" spans="1:2" x14ac:dyDescent="0.2">
      <c r="B2459" s="7" t="s">
        <v>120</v>
      </c>
    </row>
    <row r="2460" spans="1:2" x14ac:dyDescent="0.2">
      <c r="A2460" s="7" t="s">
        <v>684</v>
      </c>
      <c r="B2460" s="7" t="s">
        <v>55</v>
      </c>
    </row>
    <row r="2461" spans="1:2" x14ac:dyDescent="0.2">
      <c r="B2461" s="7" t="s">
        <v>78</v>
      </c>
    </row>
    <row r="2462" spans="1:2" x14ac:dyDescent="0.2">
      <c r="B2462" s="7" t="s">
        <v>85</v>
      </c>
    </row>
    <row r="2463" spans="1:2" x14ac:dyDescent="0.2">
      <c r="B2463" s="7" t="s">
        <v>83</v>
      </c>
    </row>
    <row r="2464" spans="1:2" x14ac:dyDescent="0.2">
      <c r="B2464" s="7" t="s">
        <v>84</v>
      </c>
    </row>
    <row r="2465" spans="1:2" x14ac:dyDescent="0.2">
      <c r="B2465" s="7" t="s">
        <v>86</v>
      </c>
    </row>
    <row r="2466" spans="1:2" x14ac:dyDescent="0.2">
      <c r="B2466" s="7" t="s">
        <v>87</v>
      </c>
    </row>
    <row r="2467" spans="1:2" x14ac:dyDescent="0.2">
      <c r="B2467" s="7" t="s">
        <v>88</v>
      </c>
    </row>
    <row r="2468" spans="1:2" x14ac:dyDescent="0.2">
      <c r="B2468" s="7" t="s">
        <v>89</v>
      </c>
    </row>
    <row r="2469" spans="1:2" x14ac:dyDescent="0.2">
      <c r="B2469" s="7" t="s">
        <v>90</v>
      </c>
    </row>
    <row r="2470" spans="1:2" x14ac:dyDescent="0.2">
      <c r="B2470" s="7" t="s">
        <v>91</v>
      </c>
    </row>
    <row r="2471" spans="1:2" x14ac:dyDescent="0.2">
      <c r="B2471" s="7" t="s">
        <v>160</v>
      </c>
    </row>
    <row r="2472" spans="1:2" x14ac:dyDescent="0.2">
      <c r="B2472" s="7" t="s">
        <v>92</v>
      </c>
    </row>
    <row r="2473" spans="1:2" x14ac:dyDescent="0.2">
      <c r="B2473" s="7" t="s">
        <v>94</v>
      </c>
    </row>
    <row r="2474" spans="1:2" x14ac:dyDescent="0.2">
      <c r="A2474" s="7" t="s">
        <v>9</v>
      </c>
      <c r="B2474" s="7" t="s">
        <v>8</v>
      </c>
    </row>
    <row r="2475" spans="1:2" x14ac:dyDescent="0.2">
      <c r="B2475" s="7" t="s">
        <v>10</v>
      </c>
    </row>
    <row r="2476" spans="1:2" x14ac:dyDescent="0.2">
      <c r="B2476" s="7" t="s">
        <v>11</v>
      </c>
    </row>
    <row r="2477" spans="1:2" x14ac:dyDescent="0.2">
      <c r="B2477" s="7" t="s">
        <v>4</v>
      </c>
    </row>
    <row r="2478" spans="1:2" x14ac:dyDescent="0.2">
      <c r="B2478" s="7" t="s">
        <v>12</v>
      </c>
    </row>
    <row r="2479" spans="1:2" x14ac:dyDescent="0.2">
      <c r="B2479" s="7" t="s">
        <v>13</v>
      </c>
    </row>
    <row r="2480" spans="1:2" x14ac:dyDescent="0.2">
      <c r="B2480" s="7" t="s">
        <v>14</v>
      </c>
    </row>
    <row r="2481" spans="2:2" x14ac:dyDescent="0.2">
      <c r="B2481" s="7" t="s">
        <v>16</v>
      </c>
    </row>
    <row r="2482" spans="2:2" x14ac:dyDescent="0.2">
      <c r="B2482" s="7" t="s">
        <v>18</v>
      </c>
    </row>
    <row r="2483" spans="2:2" x14ac:dyDescent="0.2">
      <c r="B2483" s="7" t="s">
        <v>20</v>
      </c>
    </row>
    <row r="2484" spans="2:2" x14ac:dyDescent="0.2">
      <c r="B2484" s="7" t="s">
        <v>22</v>
      </c>
    </row>
    <row r="2485" spans="2:2" x14ac:dyDescent="0.2">
      <c r="B2485" s="7" t="s">
        <v>25</v>
      </c>
    </row>
    <row r="2486" spans="2:2" x14ac:dyDescent="0.2">
      <c r="B2486" s="7" t="s">
        <v>27</v>
      </c>
    </row>
    <row r="2487" spans="2:2" x14ac:dyDescent="0.2">
      <c r="B2487" s="7" t="s">
        <v>7</v>
      </c>
    </row>
    <row r="2488" spans="2:2" x14ac:dyDescent="0.2">
      <c r="B2488" s="7" t="s">
        <v>31</v>
      </c>
    </row>
    <row r="2489" spans="2:2" x14ac:dyDescent="0.2">
      <c r="B2489" s="7" t="s">
        <v>33</v>
      </c>
    </row>
    <row r="2490" spans="2:2" x14ac:dyDescent="0.2">
      <c r="B2490" s="7" t="s">
        <v>36</v>
      </c>
    </row>
    <row r="2491" spans="2:2" x14ac:dyDescent="0.2">
      <c r="B2491" s="7" t="s">
        <v>38</v>
      </c>
    </row>
    <row r="2492" spans="2:2" x14ac:dyDescent="0.2">
      <c r="B2492" s="7" t="s">
        <v>41</v>
      </c>
    </row>
    <row r="2493" spans="2:2" x14ac:dyDescent="0.2">
      <c r="B2493" s="7" t="s">
        <v>43</v>
      </c>
    </row>
    <row r="2494" spans="2:2" x14ac:dyDescent="0.2">
      <c r="B2494" s="7" t="s">
        <v>46</v>
      </c>
    </row>
    <row r="2495" spans="2:2" x14ac:dyDescent="0.2">
      <c r="B2495" s="7" t="s">
        <v>49</v>
      </c>
    </row>
    <row r="2496" spans="2:2" x14ac:dyDescent="0.2">
      <c r="B2496" s="7" t="s">
        <v>52</v>
      </c>
    </row>
    <row r="2497" spans="2:2" x14ac:dyDescent="0.2">
      <c r="B2497" s="7" t="s">
        <v>55</v>
      </c>
    </row>
    <row r="2498" spans="2:2" x14ac:dyDescent="0.2">
      <c r="B2498" s="7" t="s">
        <v>59</v>
      </c>
    </row>
    <row r="2499" spans="2:2" x14ac:dyDescent="0.2">
      <c r="B2499" s="7" t="s">
        <v>62</v>
      </c>
    </row>
    <row r="2500" spans="2:2" x14ac:dyDescent="0.2">
      <c r="B2500" s="7" t="s">
        <v>64</v>
      </c>
    </row>
    <row r="2501" spans="2:2" x14ac:dyDescent="0.2">
      <c r="B2501" s="7" t="s">
        <v>67</v>
      </c>
    </row>
    <row r="2502" spans="2:2" x14ac:dyDescent="0.2">
      <c r="B2502" s="7" t="s">
        <v>70</v>
      </c>
    </row>
    <row r="2503" spans="2:2" x14ac:dyDescent="0.2">
      <c r="B2503" s="7" t="s">
        <v>72</v>
      </c>
    </row>
    <row r="2504" spans="2:2" x14ac:dyDescent="0.2">
      <c r="B2504" s="7" t="s">
        <v>75</v>
      </c>
    </row>
    <row r="2505" spans="2:2" x14ac:dyDescent="0.2">
      <c r="B2505" s="7" t="s">
        <v>78</v>
      </c>
    </row>
    <row r="2506" spans="2:2" x14ac:dyDescent="0.2">
      <c r="B2506" s="7" t="s">
        <v>81</v>
      </c>
    </row>
    <row r="2507" spans="2:2" x14ac:dyDescent="0.2">
      <c r="B2507" s="7" t="s">
        <v>85</v>
      </c>
    </row>
    <row r="2508" spans="2:2" x14ac:dyDescent="0.2">
      <c r="B2508" s="7" t="s">
        <v>83</v>
      </c>
    </row>
    <row r="2509" spans="2:2" x14ac:dyDescent="0.2">
      <c r="B2509" s="7" t="s">
        <v>84</v>
      </c>
    </row>
    <row r="2510" spans="2:2" x14ac:dyDescent="0.2">
      <c r="B2510" s="7" t="s">
        <v>86</v>
      </c>
    </row>
    <row r="2511" spans="2:2" x14ac:dyDescent="0.2">
      <c r="B2511" s="7" t="s">
        <v>87</v>
      </c>
    </row>
    <row r="2512" spans="2:2" x14ac:dyDescent="0.2">
      <c r="B2512" s="7" t="s">
        <v>88</v>
      </c>
    </row>
    <row r="2513" spans="1:2" x14ac:dyDescent="0.2">
      <c r="B2513" s="7" t="s">
        <v>89</v>
      </c>
    </row>
    <row r="2514" spans="1:2" x14ac:dyDescent="0.2">
      <c r="B2514" s="7" t="s">
        <v>90</v>
      </c>
    </row>
    <row r="2515" spans="1:2" x14ac:dyDescent="0.2">
      <c r="B2515" s="7" t="s">
        <v>91</v>
      </c>
    </row>
    <row r="2516" spans="1:2" x14ac:dyDescent="0.2">
      <c r="B2516" s="7" t="s">
        <v>92</v>
      </c>
    </row>
    <row r="2517" spans="1:2" x14ac:dyDescent="0.2">
      <c r="B2517" s="7" t="s">
        <v>94</v>
      </c>
    </row>
    <row r="2518" spans="1:2" x14ac:dyDescent="0.2">
      <c r="B2518" s="7" t="s">
        <v>95</v>
      </c>
    </row>
    <row r="2519" spans="1:2" x14ac:dyDescent="0.2">
      <c r="B2519" s="7" t="s">
        <v>97</v>
      </c>
    </row>
    <row r="2520" spans="1:2" x14ac:dyDescent="0.2">
      <c r="B2520" s="7" t="s">
        <v>98</v>
      </c>
    </row>
    <row r="2521" spans="1:2" x14ac:dyDescent="0.2">
      <c r="B2521" s="7" t="s">
        <v>99</v>
      </c>
    </row>
    <row r="2522" spans="1:2" x14ac:dyDescent="0.2">
      <c r="B2522" s="7" t="s">
        <v>100</v>
      </c>
    </row>
    <row r="2523" spans="1:2" x14ac:dyDescent="0.2">
      <c r="B2523" s="7" t="s">
        <v>101</v>
      </c>
    </row>
    <row r="2524" spans="1:2" x14ac:dyDescent="0.2">
      <c r="B2524" s="7" t="s">
        <v>102</v>
      </c>
    </row>
    <row r="2525" spans="1:2" x14ac:dyDescent="0.2">
      <c r="A2525" s="7" t="s">
        <v>126</v>
      </c>
      <c r="B2525" s="7" t="s">
        <v>124</v>
      </c>
    </row>
    <row r="2526" spans="1:2" x14ac:dyDescent="0.2">
      <c r="B2526" s="7" t="s">
        <v>127</v>
      </c>
    </row>
    <row r="2527" spans="1:2" x14ac:dyDescent="0.2">
      <c r="B2527" s="7" t="s">
        <v>11</v>
      </c>
    </row>
    <row r="2528" spans="1:2" x14ac:dyDescent="0.2">
      <c r="B2528" s="7" t="s">
        <v>4</v>
      </c>
    </row>
    <row r="2529" spans="2:2" x14ac:dyDescent="0.2">
      <c r="B2529" s="7" t="s">
        <v>133</v>
      </c>
    </row>
    <row r="2530" spans="2:2" x14ac:dyDescent="0.2">
      <c r="B2530" s="7" t="s">
        <v>135</v>
      </c>
    </row>
    <row r="2531" spans="2:2" x14ac:dyDescent="0.2">
      <c r="B2531" s="7" t="s">
        <v>139</v>
      </c>
    </row>
    <row r="2532" spans="2:2" x14ac:dyDescent="0.2">
      <c r="B2532" s="7" t="s">
        <v>142</v>
      </c>
    </row>
    <row r="2533" spans="2:2" x14ac:dyDescent="0.2">
      <c r="B2533" s="7" t="s">
        <v>146</v>
      </c>
    </row>
    <row r="2534" spans="2:2" x14ac:dyDescent="0.2">
      <c r="B2534" s="7" t="s">
        <v>43</v>
      </c>
    </row>
    <row r="2535" spans="2:2" x14ac:dyDescent="0.2">
      <c r="B2535" s="7" t="s">
        <v>149</v>
      </c>
    </row>
    <row r="2536" spans="2:2" x14ac:dyDescent="0.2">
      <c r="B2536" s="7" t="s">
        <v>150</v>
      </c>
    </row>
    <row r="2537" spans="2:2" x14ac:dyDescent="0.2">
      <c r="B2537" s="7" t="s">
        <v>154</v>
      </c>
    </row>
    <row r="2538" spans="2:2" x14ac:dyDescent="0.2">
      <c r="B2538" s="7" t="s">
        <v>72</v>
      </c>
    </row>
    <row r="2539" spans="2:2" x14ac:dyDescent="0.2">
      <c r="B2539" s="7" t="s">
        <v>158</v>
      </c>
    </row>
    <row r="2540" spans="2:2" x14ac:dyDescent="0.2">
      <c r="B2540" s="7" t="s">
        <v>90</v>
      </c>
    </row>
    <row r="2541" spans="2:2" x14ac:dyDescent="0.2">
      <c r="B2541" s="7" t="s">
        <v>160</v>
      </c>
    </row>
    <row r="2542" spans="2:2" x14ac:dyDescent="0.2">
      <c r="B2542" s="7" t="s">
        <v>161</v>
      </c>
    </row>
    <row r="2543" spans="2:2" x14ac:dyDescent="0.2">
      <c r="B2543" s="7" t="s">
        <v>162</v>
      </c>
    </row>
    <row r="2544" spans="2:2" x14ac:dyDescent="0.2">
      <c r="B2544" s="7" t="s">
        <v>163</v>
      </c>
    </row>
    <row r="2545" spans="1:2" x14ac:dyDescent="0.2">
      <c r="B2545" s="7" t="s">
        <v>98</v>
      </c>
    </row>
    <row r="2546" spans="1:2" x14ac:dyDescent="0.2">
      <c r="B2546" s="7" t="s">
        <v>99</v>
      </c>
    </row>
    <row r="2547" spans="1:2" x14ac:dyDescent="0.2">
      <c r="B2547" s="7" t="s">
        <v>131</v>
      </c>
    </row>
    <row r="2548" spans="1:2" x14ac:dyDescent="0.2">
      <c r="A2548" s="7" t="s">
        <v>528</v>
      </c>
      <c r="B2548" s="7" t="s">
        <v>486</v>
      </c>
    </row>
    <row r="2549" spans="1:2" x14ac:dyDescent="0.2">
      <c r="B2549" s="7" t="s">
        <v>449</v>
      </c>
    </row>
    <row r="2550" spans="1:2" x14ac:dyDescent="0.2">
      <c r="B2550" s="7" t="s">
        <v>194</v>
      </c>
    </row>
    <row r="2551" spans="1:2" x14ac:dyDescent="0.2">
      <c r="B2551" s="7" t="s">
        <v>195</v>
      </c>
    </row>
    <row r="2552" spans="1:2" x14ac:dyDescent="0.2">
      <c r="B2552" s="7" t="s">
        <v>36</v>
      </c>
    </row>
    <row r="2553" spans="1:2" x14ac:dyDescent="0.2">
      <c r="B2553" s="7" t="s">
        <v>379</v>
      </c>
    </row>
    <row r="2554" spans="1:2" x14ac:dyDescent="0.2">
      <c r="B2554" s="7" t="s">
        <v>451</v>
      </c>
    </row>
    <row r="2555" spans="1:2" x14ac:dyDescent="0.2">
      <c r="B2555" s="7" t="s">
        <v>351</v>
      </c>
    </row>
    <row r="2556" spans="1:2" x14ac:dyDescent="0.2">
      <c r="B2556" s="7" t="s">
        <v>52</v>
      </c>
    </row>
    <row r="2557" spans="1:2" x14ac:dyDescent="0.2">
      <c r="B2557" s="7" t="s">
        <v>529</v>
      </c>
    </row>
    <row r="2558" spans="1:2" x14ac:dyDescent="0.2">
      <c r="B2558" s="7" t="s">
        <v>83</v>
      </c>
    </row>
    <row r="2559" spans="1:2" x14ac:dyDescent="0.2">
      <c r="B2559" s="7" t="s">
        <v>327</v>
      </c>
    </row>
    <row r="2560" spans="1:2" x14ac:dyDescent="0.2">
      <c r="B2560" s="7" t="s">
        <v>331</v>
      </c>
    </row>
    <row r="2561" spans="1:2" x14ac:dyDescent="0.2">
      <c r="B2561" s="7" t="s">
        <v>333</v>
      </c>
    </row>
    <row r="2562" spans="1:2" x14ac:dyDescent="0.2">
      <c r="B2562" s="7" t="s">
        <v>530</v>
      </c>
    </row>
    <row r="2563" spans="1:2" x14ac:dyDescent="0.2">
      <c r="A2563" s="7" t="s">
        <v>356</v>
      </c>
      <c r="B2563" s="7" t="s">
        <v>189</v>
      </c>
    </row>
    <row r="2564" spans="1:2" x14ac:dyDescent="0.2">
      <c r="B2564" s="7" t="s">
        <v>161</v>
      </c>
    </row>
    <row r="2565" spans="1:2" x14ac:dyDescent="0.2">
      <c r="A2565" s="7" t="s">
        <v>206</v>
      </c>
      <c r="B2565" s="7" t="s">
        <v>205</v>
      </c>
    </row>
    <row r="2566" spans="1:2" x14ac:dyDescent="0.2">
      <c r="B2566" s="7" t="s">
        <v>207</v>
      </c>
    </row>
    <row r="2567" spans="1:2" x14ac:dyDescent="0.2">
      <c r="B2567" s="7" t="s">
        <v>209</v>
      </c>
    </row>
    <row r="2568" spans="1:2" x14ac:dyDescent="0.2">
      <c r="B2568" s="7" t="s">
        <v>210</v>
      </c>
    </row>
    <row r="2569" spans="1:2" x14ac:dyDescent="0.2">
      <c r="B2569" s="7" t="s">
        <v>211</v>
      </c>
    </row>
    <row r="2570" spans="1:2" x14ac:dyDescent="0.2">
      <c r="B2570" s="7" t="s">
        <v>212</v>
      </c>
    </row>
    <row r="2571" spans="1:2" x14ac:dyDescent="0.2">
      <c r="B2571" s="7" t="s">
        <v>16</v>
      </c>
    </row>
    <row r="2572" spans="1:2" x14ac:dyDescent="0.2">
      <c r="B2572" s="7" t="s">
        <v>214</v>
      </c>
    </row>
    <row r="2573" spans="1:2" x14ac:dyDescent="0.2">
      <c r="B2573" s="7" t="s">
        <v>25</v>
      </c>
    </row>
    <row r="2574" spans="1:2" x14ac:dyDescent="0.2">
      <c r="B2574" s="7" t="s">
        <v>216</v>
      </c>
    </row>
    <row r="2575" spans="1:2" x14ac:dyDescent="0.2">
      <c r="B2575" s="7" t="s">
        <v>139</v>
      </c>
    </row>
    <row r="2576" spans="1:2" x14ac:dyDescent="0.2">
      <c r="B2576" s="7" t="s">
        <v>217</v>
      </c>
    </row>
    <row r="2577" spans="2:2" x14ac:dyDescent="0.2">
      <c r="B2577" s="7" t="s">
        <v>43</v>
      </c>
    </row>
    <row r="2578" spans="2:2" x14ac:dyDescent="0.2">
      <c r="B2578" s="7" t="s">
        <v>49</v>
      </c>
    </row>
    <row r="2579" spans="2:2" x14ac:dyDescent="0.2">
      <c r="B2579" s="7" t="s">
        <v>220</v>
      </c>
    </row>
    <row r="2580" spans="2:2" x14ac:dyDescent="0.2">
      <c r="B2580" s="7" t="s">
        <v>221</v>
      </c>
    </row>
    <row r="2581" spans="2:2" x14ac:dyDescent="0.2">
      <c r="B2581" s="7" t="s">
        <v>222</v>
      </c>
    </row>
    <row r="2582" spans="2:2" x14ac:dyDescent="0.2">
      <c r="B2582" s="7" t="s">
        <v>223</v>
      </c>
    </row>
    <row r="2583" spans="2:2" x14ac:dyDescent="0.2">
      <c r="B2583" s="7" t="s">
        <v>154</v>
      </c>
    </row>
    <row r="2584" spans="2:2" x14ac:dyDescent="0.2">
      <c r="B2584" s="7" t="s">
        <v>224</v>
      </c>
    </row>
    <row r="2585" spans="2:2" x14ac:dyDescent="0.2">
      <c r="B2585" s="7" t="s">
        <v>67</v>
      </c>
    </row>
    <row r="2586" spans="2:2" x14ac:dyDescent="0.2">
      <c r="B2586" s="7" t="s">
        <v>225</v>
      </c>
    </row>
    <row r="2587" spans="2:2" x14ac:dyDescent="0.2">
      <c r="B2587" s="7" t="s">
        <v>226</v>
      </c>
    </row>
    <row r="2588" spans="2:2" x14ac:dyDescent="0.2">
      <c r="B2588" s="7" t="s">
        <v>92</v>
      </c>
    </row>
    <row r="2589" spans="2:2" x14ac:dyDescent="0.2">
      <c r="B2589" s="7" t="s">
        <v>118</v>
      </c>
    </row>
    <row r="2590" spans="2:2" x14ac:dyDescent="0.2">
      <c r="B2590" s="7" t="s">
        <v>227</v>
      </c>
    </row>
    <row r="2591" spans="2:2" x14ac:dyDescent="0.2">
      <c r="B2591" s="7" t="s">
        <v>228</v>
      </c>
    </row>
    <row r="2592" spans="2:2" x14ac:dyDescent="0.2">
      <c r="B2592" s="7" t="s">
        <v>230</v>
      </c>
    </row>
    <row r="2593" spans="1:2" x14ac:dyDescent="0.2">
      <c r="B2593" s="7" t="s">
        <v>231</v>
      </c>
    </row>
    <row r="2594" spans="1:2" x14ac:dyDescent="0.2">
      <c r="A2594" s="7" t="s">
        <v>659</v>
      </c>
      <c r="B2594" s="7" t="s">
        <v>8</v>
      </c>
    </row>
    <row r="2595" spans="1:2" x14ac:dyDescent="0.2">
      <c r="B2595" s="7" t="s">
        <v>10</v>
      </c>
    </row>
    <row r="2596" spans="1:2" x14ac:dyDescent="0.2">
      <c r="B2596" s="7" t="s">
        <v>14</v>
      </c>
    </row>
    <row r="2597" spans="1:2" x14ac:dyDescent="0.2">
      <c r="B2597" s="7" t="s">
        <v>43</v>
      </c>
    </row>
    <row r="2598" spans="1:2" x14ac:dyDescent="0.2">
      <c r="B2598" s="7" t="s">
        <v>59</v>
      </c>
    </row>
    <row r="2599" spans="1:2" x14ac:dyDescent="0.2">
      <c r="B2599" s="7" t="s">
        <v>72</v>
      </c>
    </row>
    <row r="2600" spans="1:2" x14ac:dyDescent="0.2">
      <c r="B2600" s="7" t="s">
        <v>160</v>
      </c>
    </row>
    <row r="2601" spans="1:2" x14ac:dyDescent="0.2">
      <c r="B2601" s="7" t="s">
        <v>660</v>
      </c>
    </row>
    <row r="2602" spans="1:2" x14ac:dyDescent="0.2">
      <c r="B2602" s="7" t="s">
        <v>95</v>
      </c>
    </row>
    <row r="2603" spans="1:2" x14ac:dyDescent="0.2">
      <c r="B2603" s="7" t="s">
        <v>98</v>
      </c>
    </row>
    <row r="2604" spans="1:2" x14ac:dyDescent="0.2">
      <c r="B2604" s="7" t="s">
        <v>99</v>
      </c>
    </row>
    <row r="2605" spans="1:2" x14ac:dyDescent="0.2">
      <c r="B2605" s="7" t="s">
        <v>100</v>
      </c>
    </row>
    <row r="2606" spans="1:2" x14ac:dyDescent="0.2">
      <c r="A2606" s="7" t="s">
        <v>657</v>
      </c>
      <c r="B2606" s="7" t="s">
        <v>211</v>
      </c>
    </row>
    <row r="2607" spans="1:2" x14ac:dyDescent="0.2">
      <c r="B2607" s="7" t="s">
        <v>238</v>
      </c>
    </row>
    <row r="2608" spans="1:2" x14ac:dyDescent="0.2">
      <c r="B2608" s="7" t="s">
        <v>513</v>
      </c>
    </row>
    <row r="2609" spans="1:2" x14ac:dyDescent="0.2">
      <c r="B2609" s="7" t="s">
        <v>262</v>
      </c>
    </row>
    <row r="2610" spans="1:2" x14ac:dyDescent="0.2">
      <c r="A2610" s="7" t="s">
        <v>652</v>
      </c>
      <c r="B2610" s="7" t="s">
        <v>614</v>
      </c>
    </row>
    <row r="2611" spans="1:2" x14ac:dyDescent="0.2">
      <c r="B2611" s="7" t="s">
        <v>8</v>
      </c>
    </row>
    <row r="2612" spans="1:2" x14ac:dyDescent="0.2">
      <c r="B2612" s="7" t="s">
        <v>187</v>
      </c>
    </row>
    <row r="2613" spans="1:2" x14ac:dyDescent="0.2">
      <c r="B2613" s="7" t="s">
        <v>129</v>
      </c>
    </row>
    <row r="2614" spans="1:2" x14ac:dyDescent="0.2">
      <c r="B2614" s="7" t="s">
        <v>431</v>
      </c>
    </row>
    <row r="2615" spans="1:2" x14ac:dyDescent="0.2">
      <c r="B2615" s="7" t="s">
        <v>16</v>
      </c>
    </row>
    <row r="2616" spans="1:2" x14ac:dyDescent="0.2">
      <c r="B2616" s="7" t="s">
        <v>18</v>
      </c>
    </row>
    <row r="2617" spans="1:2" x14ac:dyDescent="0.2">
      <c r="B2617" s="7" t="s">
        <v>22</v>
      </c>
    </row>
    <row r="2618" spans="1:2" x14ac:dyDescent="0.2">
      <c r="B2618" s="7" t="s">
        <v>297</v>
      </c>
    </row>
    <row r="2619" spans="1:2" x14ac:dyDescent="0.2">
      <c r="B2619" s="7" t="s">
        <v>240</v>
      </c>
    </row>
    <row r="2620" spans="1:2" x14ac:dyDescent="0.2">
      <c r="B2620" s="7" t="s">
        <v>172</v>
      </c>
    </row>
    <row r="2621" spans="1:2" x14ac:dyDescent="0.2">
      <c r="B2621" s="7" t="s">
        <v>249</v>
      </c>
    </row>
    <row r="2622" spans="1:2" x14ac:dyDescent="0.2">
      <c r="B2622" s="7" t="s">
        <v>379</v>
      </c>
    </row>
    <row r="2623" spans="1:2" x14ac:dyDescent="0.2">
      <c r="B2623" s="7" t="s">
        <v>219</v>
      </c>
    </row>
    <row r="2624" spans="1:2" x14ac:dyDescent="0.2">
      <c r="B2624" s="7" t="s">
        <v>46</v>
      </c>
    </row>
    <row r="2625" spans="1:2" x14ac:dyDescent="0.2">
      <c r="B2625" s="7" t="s">
        <v>198</v>
      </c>
    </row>
    <row r="2626" spans="1:2" x14ac:dyDescent="0.2">
      <c r="B2626" s="7" t="s">
        <v>310</v>
      </c>
    </row>
    <row r="2627" spans="1:2" x14ac:dyDescent="0.2">
      <c r="B2627" s="7" t="s">
        <v>175</v>
      </c>
    </row>
    <row r="2628" spans="1:2" x14ac:dyDescent="0.2">
      <c r="B2628" s="7" t="s">
        <v>108</v>
      </c>
    </row>
    <row r="2629" spans="1:2" x14ac:dyDescent="0.2">
      <c r="B2629" s="7" t="s">
        <v>353</v>
      </c>
    </row>
    <row r="2630" spans="1:2" x14ac:dyDescent="0.2">
      <c r="B2630" s="7" t="s">
        <v>390</v>
      </c>
    </row>
    <row r="2631" spans="1:2" x14ac:dyDescent="0.2">
      <c r="B2631" s="7" t="s">
        <v>616</v>
      </c>
    </row>
    <row r="2632" spans="1:2" x14ac:dyDescent="0.2">
      <c r="B2632" s="7" t="s">
        <v>62</v>
      </c>
    </row>
    <row r="2633" spans="1:2" x14ac:dyDescent="0.2">
      <c r="B2633" s="7" t="s">
        <v>382</v>
      </c>
    </row>
    <row r="2634" spans="1:2" x14ac:dyDescent="0.2">
      <c r="B2634" s="7" t="s">
        <v>276</v>
      </c>
    </row>
    <row r="2635" spans="1:2" x14ac:dyDescent="0.2">
      <c r="A2635" s="7" t="s">
        <v>279</v>
      </c>
      <c r="B2635" s="7" t="s">
        <v>233</v>
      </c>
    </row>
    <row r="2636" spans="1:2" x14ac:dyDescent="0.2">
      <c r="B2636" s="7" t="s">
        <v>124</v>
      </c>
    </row>
    <row r="2637" spans="1:2" x14ac:dyDescent="0.2">
      <c r="B2637" s="7" t="s">
        <v>281</v>
      </c>
    </row>
    <row r="2638" spans="1:2" x14ac:dyDescent="0.2">
      <c r="B2638" s="7" t="s">
        <v>283</v>
      </c>
    </row>
    <row r="2639" spans="1:2" x14ac:dyDescent="0.2">
      <c r="B2639" s="7" t="s">
        <v>11</v>
      </c>
    </row>
    <row r="2640" spans="1:2" x14ac:dyDescent="0.2">
      <c r="B2640" s="7" t="s">
        <v>284</v>
      </c>
    </row>
    <row r="2641" spans="2:2" x14ac:dyDescent="0.2">
      <c r="B2641" s="7" t="s">
        <v>285</v>
      </c>
    </row>
    <row r="2642" spans="2:2" x14ac:dyDescent="0.2">
      <c r="B2642" s="7" t="s">
        <v>286</v>
      </c>
    </row>
    <row r="2643" spans="2:2" x14ac:dyDescent="0.2">
      <c r="B2643" s="7" t="s">
        <v>210</v>
      </c>
    </row>
    <row r="2644" spans="2:2" x14ac:dyDescent="0.2">
      <c r="B2644" s="7" t="s">
        <v>287</v>
      </c>
    </row>
    <row r="2645" spans="2:2" x14ac:dyDescent="0.2">
      <c r="B2645" s="7" t="s">
        <v>288</v>
      </c>
    </row>
    <row r="2646" spans="2:2" x14ac:dyDescent="0.2">
      <c r="B2646" s="7" t="s">
        <v>289</v>
      </c>
    </row>
    <row r="2647" spans="2:2" x14ac:dyDescent="0.2">
      <c r="B2647" s="7" t="s">
        <v>291</v>
      </c>
    </row>
    <row r="2648" spans="2:2" x14ac:dyDescent="0.2">
      <c r="B2648" s="7" t="s">
        <v>292</v>
      </c>
    </row>
    <row r="2649" spans="2:2" x14ac:dyDescent="0.2">
      <c r="B2649" s="7" t="s">
        <v>293</v>
      </c>
    </row>
    <row r="2650" spans="2:2" x14ac:dyDescent="0.2">
      <c r="B2650" s="7" t="s">
        <v>294</v>
      </c>
    </row>
    <row r="2651" spans="2:2" x14ac:dyDescent="0.2">
      <c r="B2651" s="7" t="s">
        <v>295</v>
      </c>
    </row>
    <row r="2652" spans="2:2" x14ac:dyDescent="0.2">
      <c r="B2652" s="7" t="s">
        <v>296</v>
      </c>
    </row>
    <row r="2653" spans="2:2" x14ac:dyDescent="0.2">
      <c r="B2653" s="7" t="s">
        <v>138</v>
      </c>
    </row>
    <row r="2654" spans="2:2" x14ac:dyDescent="0.2">
      <c r="B2654" s="7" t="s">
        <v>297</v>
      </c>
    </row>
    <row r="2655" spans="2:2" x14ac:dyDescent="0.2">
      <c r="B2655" s="7" t="s">
        <v>25</v>
      </c>
    </row>
    <row r="2656" spans="2:2" x14ac:dyDescent="0.2">
      <c r="B2656" s="7" t="s">
        <v>242</v>
      </c>
    </row>
    <row r="2657" spans="2:2" x14ac:dyDescent="0.2">
      <c r="B2657" s="7" t="s">
        <v>298</v>
      </c>
    </row>
    <row r="2658" spans="2:2" x14ac:dyDescent="0.2">
      <c r="B2658" s="7" t="s">
        <v>243</v>
      </c>
    </row>
    <row r="2659" spans="2:2" x14ac:dyDescent="0.2">
      <c r="B2659" s="7" t="s">
        <v>299</v>
      </c>
    </row>
    <row r="2660" spans="2:2" x14ac:dyDescent="0.2">
      <c r="B2660" s="7" t="s">
        <v>249</v>
      </c>
    </row>
    <row r="2661" spans="2:2" x14ac:dyDescent="0.2">
      <c r="B2661" s="7" t="s">
        <v>113</v>
      </c>
    </row>
    <row r="2662" spans="2:2" x14ac:dyDescent="0.2">
      <c r="B2662" s="7" t="s">
        <v>301</v>
      </c>
    </row>
    <row r="2663" spans="2:2" x14ac:dyDescent="0.2">
      <c r="B2663" s="7" t="s">
        <v>302</v>
      </c>
    </row>
    <row r="2664" spans="2:2" x14ac:dyDescent="0.2">
      <c r="B2664" s="7" t="s">
        <v>33</v>
      </c>
    </row>
    <row r="2665" spans="2:2" x14ac:dyDescent="0.2">
      <c r="B2665" s="7" t="s">
        <v>250</v>
      </c>
    </row>
    <row r="2666" spans="2:2" x14ac:dyDescent="0.2">
      <c r="B2666" s="7" t="s">
        <v>253</v>
      </c>
    </row>
    <row r="2667" spans="2:2" x14ac:dyDescent="0.2">
      <c r="B2667" s="7" t="s">
        <v>194</v>
      </c>
    </row>
    <row r="2668" spans="2:2" x14ac:dyDescent="0.2">
      <c r="B2668" s="7" t="s">
        <v>303</v>
      </c>
    </row>
    <row r="2669" spans="2:2" x14ac:dyDescent="0.2">
      <c r="B2669" s="7" t="s">
        <v>304</v>
      </c>
    </row>
    <row r="2670" spans="2:2" x14ac:dyDescent="0.2">
      <c r="B2670" s="7" t="s">
        <v>305</v>
      </c>
    </row>
    <row r="2671" spans="2:2" x14ac:dyDescent="0.2">
      <c r="B2671" s="7" t="s">
        <v>128</v>
      </c>
    </row>
    <row r="2672" spans="2:2" x14ac:dyDescent="0.2">
      <c r="B2672" s="7" t="s">
        <v>41</v>
      </c>
    </row>
    <row r="2673" spans="2:2" x14ac:dyDescent="0.2">
      <c r="B2673" s="7" t="s">
        <v>43</v>
      </c>
    </row>
    <row r="2674" spans="2:2" x14ac:dyDescent="0.2">
      <c r="B2674" s="7" t="s">
        <v>308</v>
      </c>
    </row>
    <row r="2675" spans="2:2" x14ac:dyDescent="0.2">
      <c r="B2675" s="7" t="s">
        <v>310</v>
      </c>
    </row>
    <row r="2676" spans="2:2" x14ac:dyDescent="0.2">
      <c r="B2676" s="7" t="s">
        <v>311</v>
      </c>
    </row>
    <row r="2677" spans="2:2" x14ac:dyDescent="0.2">
      <c r="B2677" s="7" t="s">
        <v>199</v>
      </c>
    </row>
    <row r="2678" spans="2:2" x14ac:dyDescent="0.2">
      <c r="B2678" s="7" t="s">
        <v>313</v>
      </c>
    </row>
    <row r="2679" spans="2:2" x14ac:dyDescent="0.2">
      <c r="B2679" s="7" t="s">
        <v>314</v>
      </c>
    </row>
    <row r="2680" spans="2:2" x14ac:dyDescent="0.2">
      <c r="B2680" s="7" t="s">
        <v>221</v>
      </c>
    </row>
    <row r="2681" spans="2:2" x14ac:dyDescent="0.2">
      <c r="B2681" s="7" t="s">
        <v>200</v>
      </c>
    </row>
    <row r="2682" spans="2:2" x14ac:dyDescent="0.2">
      <c r="B2682" s="7" t="s">
        <v>316</v>
      </c>
    </row>
    <row r="2683" spans="2:2" x14ac:dyDescent="0.2">
      <c r="B2683" s="7" t="s">
        <v>317</v>
      </c>
    </row>
    <row r="2684" spans="2:2" x14ac:dyDescent="0.2">
      <c r="B2684" s="7" t="s">
        <v>180</v>
      </c>
    </row>
    <row r="2685" spans="2:2" x14ac:dyDescent="0.2">
      <c r="B2685" s="7" t="s">
        <v>150</v>
      </c>
    </row>
    <row r="2686" spans="2:2" x14ac:dyDescent="0.2">
      <c r="B2686" s="7" t="s">
        <v>318</v>
      </c>
    </row>
    <row r="2687" spans="2:2" x14ac:dyDescent="0.2">
      <c r="B2687" s="7" t="s">
        <v>108</v>
      </c>
    </row>
    <row r="2688" spans="2:2" x14ac:dyDescent="0.2">
      <c r="B2688" s="7" t="s">
        <v>154</v>
      </c>
    </row>
    <row r="2689" spans="2:2" x14ac:dyDescent="0.2">
      <c r="B2689" s="7" t="s">
        <v>320</v>
      </c>
    </row>
    <row r="2690" spans="2:2" x14ac:dyDescent="0.2">
      <c r="B2690" s="7" t="s">
        <v>64</v>
      </c>
    </row>
    <row r="2691" spans="2:2" x14ac:dyDescent="0.2">
      <c r="B2691" s="7" t="s">
        <v>321</v>
      </c>
    </row>
    <row r="2692" spans="2:2" x14ac:dyDescent="0.2">
      <c r="B2692" s="7" t="s">
        <v>323</v>
      </c>
    </row>
    <row r="2693" spans="2:2" x14ac:dyDescent="0.2">
      <c r="B2693" s="7" t="s">
        <v>225</v>
      </c>
    </row>
    <row r="2694" spans="2:2" x14ac:dyDescent="0.2">
      <c r="B2694" s="7" t="s">
        <v>266</v>
      </c>
    </row>
    <row r="2695" spans="2:2" x14ac:dyDescent="0.2">
      <c r="B2695" s="7" t="s">
        <v>78</v>
      </c>
    </row>
    <row r="2696" spans="2:2" x14ac:dyDescent="0.2">
      <c r="B2696" s="7" t="s">
        <v>85</v>
      </c>
    </row>
    <row r="2697" spans="2:2" x14ac:dyDescent="0.2">
      <c r="B2697" s="7" t="s">
        <v>86</v>
      </c>
    </row>
    <row r="2698" spans="2:2" x14ac:dyDescent="0.2">
      <c r="B2698" s="7" t="s">
        <v>94</v>
      </c>
    </row>
    <row r="2699" spans="2:2" x14ac:dyDescent="0.2">
      <c r="B2699" s="7" t="s">
        <v>269</v>
      </c>
    </row>
    <row r="2700" spans="2:2" x14ac:dyDescent="0.2">
      <c r="B2700" s="7" t="s">
        <v>326</v>
      </c>
    </row>
    <row r="2701" spans="2:2" x14ac:dyDescent="0.2">
      <c r="B2701" s="7" t="s">
        <v>327</v>
      </c>
    </row>
    <row r="2702" spans="2:2" x14ac:dyDescent="0.2">
      <c r="B2702" s="7" t="s">
        <v>97</v>
      </c>
    </row>
    <row r="2703" spans="2:2" x14ac:dyDescent="0.2">
      <c r="B2703" s="7" t="s">
        <v>328</v>
      </c>
    </row>
    <row r="2704" spans="2:2" x14ac:dyDescent="0.2">
      <c r="B2704" s="7" t="s">
        <v>330</v>
      </c>
    </row>
    <row r="2705" spans="1:2" x14ac:dyDescent="0.2">
      <c r="B2705" s="7" t="s">
        <v>208</v>
      </c>
    </row>
    <row r="2706" spans="1:2" x14ac:dyDescent="0.2">
      <c r="B2706" s="7" t="s">
        <v>331</v>
      </c>
    </row>
    <row r="2707" spans="1:2" x14ac:dyDescent="0.2">
      <c r="B2707" s="7" t="s">
        <v>277</v>
      </c>
    </row>
    <row r="2708" spans="1:2" x14ac:dyDescent="0.2">
      <c r="B2708" s="7" t="s">
        <v>98</v>
      </c>
    </row>
    <row r="2709" spans="1:2" x14ac:dyDescent="0.2">
      <c r="B2709" s="7" t="s">
        <v>333</v>
      </c>
    </row>
    <row r="2710" spans="1:2" x14ac:dyDescent="0.2">
      <c r="B2710" s="7" t="s">
        <v>334</v>
      </c>
    </row>
    <row r="2711" spans="1:2" x14ac:dyDescent="0.2">
      <c r="B2711" s="7" t="s">
        <v>145</v>
      </c>
    </row>
    <row r="2712" spans="1:2" x14ac:dyDescent="0.2">
      <c r="B2712" s="7" t="s">
        <v>276</v>
      </c>
    </row>
    <row r="2713" spans="1:2" x14ac:dyDescent="0.2">
      <c r="B2713" s="7" t="s">
        <v>102</v>
      </c>
    </row>
    <row r="2714" spans="1:2" x14ac:dyDescent="0.2">
      <c r="A2714" s="7" t="s">
        <v>681</v>
      </c>
      <c r="B2714" s="7" t="s">
        <v>614</v>
      </c>
    </row>
    <row r="2715" spans="1:2" x14ac:dyDescent="0.2">
      <c r="B2715" s="7" t="s">
        <v>205</v>
      </c>
    </row>
    <row r="2716" spans="1:2" x14ac:dyDescent="0.2">
      <c r="B2716" s="7" t="s">
        <v>233</v>
      </c>
    </row>
    <row r="2717" spans="1:2" x14ac:dyDescent="0.2">
      <c r="B2717" s="7" t="s">
        <v>236</v>
      </c>
    </row>
    <row r="2718" spans="1:2" x14ac:dyDescent="0.2">
      <c r="B2718" s="7" t="s">
        <v>408</v>
      </c>
    </row>
    <row r="2719" spans="1:2" x14ac:dyDescent="0.2">
      <c r="B2719" s="7" t="s">
        <v>237</v>
      </c>
    </row>
    <row r="2720" spans="1:2" x14ac:dyDescent="0.2">
      <c r="B2720" s="7" t="s">
        <v>185</v>
      </c>
    </row>
    <row r="2721" spans="2:2" x14ac:dyDescent="0.2">
      <c r="B2721" s="7" t="s">
        <v>359</v>
      </c>
    </row>
    <row r="2722" spans="2:2" x14ac:dyDescent="0.2">
      <c r="B2722" s="7" t="s">
        <v>186</v>
      </c>
    </row>
    <row r="2723" spans="2:2" x14ac:dyDescent="0.2">
      <c r="B2723" s="7" t="s">
        <v>187</v>
      </c>
    </row>
    <row r="2724" spans="2:2" x14ac:dyDescent="0.2">
      <c r="B2724" s="7" t="s">
        <v>258</v>
      </c>
    </row>
    <row r="2725" spans="2:2" x14ac:dyDescent="0.2">
      <c r="B2725" s="7" t="s">
        <v>4</v>
      </c>
    </row>
    <row r="2726" spans="2:2" x14ac:dyDescent="0.2">
      <c r="B2726" s="7" t="s">
        <v>129</v>
      </c>
    </row>
    <row r="2727" spans="2:2" x14ac:dyDescent="0.2">
      <c r="B2727" s="7" t="s">
        <v>14</v>
      </c>
    </row>
    <row r="2728" spans="2:2" x14ac:dyDescent="0.2">
      <c r="B2728" s="7" t="s">
        <v>374</v>
      </c>
    </row>
    <row r="2729" spans="2:2" x14ac:dyDescent="0.2">
      <c r="B2729" s="7" t="s">
        <v>388</v>
      </c>
    </row>
    <row r="2730" spans="2:2" x14ac:dyDescent="0.2">
      <c r="B2730" s="7" t="s">
        <v>431</v>
      </c>
    </row>
    <row r="2731" spans="2:2" x14ac:dyDescent="0.2">
      <c r="B2731" s="7" t="s">
        <v>293</v>
      </c>
    </row>
    <row r="2732" spans="2:2" x14ac:dyDescent="0.2">
      <c r="B2732" s="7" t="s">
        <v>239</v>
      </c>
    </row>
    <row r="2733" spans="2:2" x14ac:dyDescent="0.2">
      <c r="B2733" s="7" t="s">
        <v>395</v>
      </c>
    </row>
    <row r="2734" spans="2:2" x14ac:dyDescent="0.2">
      <c r="B2734" s="7" t="s">
        <v>133</v>
      </c>
    </row>
    <row r="2735" spans="2:2" x14ac:dyDescent="0.2">
      <c r="B2735" s="7" t="s">
        <v>378</v>
      </c>
    </row>
    <row r="2736" spans="2:2" x14ac:dyDescent="0.2">
      <c r="B2736" s="7" t="s">
        <v>18</v>
      </c>
    </row>
    <row r="2737" spans="2:2" x14ac:dyDescent="0.2">
      <c r="B2737" s="7" t="s">
        <v>621</v>
      </c>
    </row>
    <row r="2738" spans="2:2" x14ac:dyDescent="0.2">
      <c r="B2738" s="7" t="s">
        <v>338</v>
      </c>
    </row>
    <row r="2739" spans="2:2" x14ac:dyDescent="0.2">
      <c r="B2739" s="7" t="s">
        <v>22</v>
      </c>
    </row>
    <row r="2740" spans="2:2" x14ac:dyDescent="0.2">
      <c r="B2740" s="7" t="s">
        <v>242</v>
      </c>
    </row>
    <row r="2741" spans="2:2" x14ac:dyDescent="0.2">
      <c r="B2741" s="7" t="s">
        <v>240</v>
      </c>
    </row>
    <row r="2742" spans="2:2" x14ac:dyDescent="0.2">
      <c r="B2742" s="7" t="s">
        <v>139</v>
      </c>
    </row>
    <row r="2743" spans="2:2" x14ac:dyDescent="0.2">
      <c r="B2743" s="7" t="s">
        <v>27</v>
      </c>
    </row>
    <row r="2744" spans="2:2" x14ac:dyDescent="0.2">
      <c r="B2744" s="7" t="s">
        <v>541</v>
      </c>
    </row>
    <row r="2745" spans="2:2" x14ac:dyDescent="0.2">
      <c r="B2745" s="7" t="s">
        <v>643</v>
      </c>
    </row>
    <row r="2746" spans="2:2" x14ac:dyDescent="0.2">
      <c r="B2746" s="7" t="s">
        <v>217</v>
      </c>
    </row>
    <row r="2747" spans="2:2" x14ac:dyDescent="0.2">
      <c r="B2747" s="7" t="s">
        <v>7</v>
      </c>
    </row>
    <row r="2748" spans="2:2" x14ac:dyDescent="0.2">
      <c r="B2748" s="7" t="s">
        <v>251</v>
      </c>
    </row>
    <row r="2749" spans="2:2" x14ac:dyDescent="0.2">
      <c r="B2749" s="7" t="s">
        <v>379</v>
      </c>
    </row>
    <row r="2750" spans="2:2" x14ac:dyDescent="0.2">
      <c r="B2750" s="7" t="s">
        <v>362</v>
      </c>
    </row>
    <row r="2751" spans="2:2" x14ac:dyDescent="0.2">
      <c r="B2751" s="7" t="s">
        <v>604</v>
      </c>
    </row>
    <row r="2752" spans="2:2" x14ac:dyDescent="0.2">
      <c r="B2752" s="7" t="s">
        <v>107</v>
      </c>
    </row>
    <row r="2753" spans="2:2" x14ac:dyDescent="0.2">
      <c r="B2753" s="7" t="s">
        <v>219</v>
      </c>
    </row>
    <row r="2754" spans="2:2" x14ac:dyDescent="0.2">
      <c r="B2754" s="7" t="s">
        <v>380</v>
      </c>
    </row>
    <row r="2755" spans="2:2" x14ac:dyDescent="0.2">
      <c r="B2755" s="7" t="s">
        <v>255</v>
      </c>
    </row>
    <row r="2756" spans="2:2" x14ac:dyDescent="0.2">
      <c r="B2756" s="7" t="s">
        <v>196</v>
      </c>
    </row>
    <row r="2757" spans="2:2" x14ac:dyDescent="0.2">
      <c r="B2757" s="7" t="s">
        <v>229</v>
      </c>
    </row>
    <row r="2758" spans="2:2" x14ac:dyDescent="0.2">
      <c r="B2758" s="7" t="s">
        <v>256</v>
      </c>
    </row>
    <row r="2759" spans="2:2" x14ac:dyDescent="0.2">
      <c r="B2759" s="7" t="s">
        <v>38</v>
      </c>
    </row>
    <row r="2760" spans="2:2" x14ac:dyDescent="0.2">
      <c r="B2760" s="7" t="s">
        <v>46</v>
      </c>
    </row>
    <row r="2761" spans="2:2" x14ac:dyDescent="0.2">
      <c r="B2761" s="7" t="s">
        <v>198</v>
      </c>
    </row>
    <row r="2762" spans="2:2" x14ac:dyDescent="0.2">
      <c r="B2762" s="7" t="s">
        <v>49</v>
      </c>
    </row>
    <row r="2763" spans="2:2" x14ac:dyDescent="0.2">
      <c r="B2763" s="7" t="s">
        <v>381</v>
      </c>
    </row>
    <row r="2764" spans="2:2" x14ac:dyDescent="0.2">
      <c r="B2764" s="7" t="s">
        <v>363</v>
      </c>
    </row>
    <row r="2765" spans="2:2" x14ac:dyDescent="0.2">
      <c r="B2765" s="7" t="s">
        <v>311</v>
      </c>
    </row>
    <row r="2766" spans="2:2" x14ac:dyDescent="0.2">
      <c r="B2766" s="7" t="s">
        <v>199</v>
      </c>
    </row>
    <row r="2767" spans="2:2" x14ac:dyDescent="0.2">
      <c r="B2767" s="7" t="s">
        <v>220</v>
      </c>
    </row>
    <row r="2768" spans="2:2" x14ac:dyDescent="0.2">
      <c r="B2768" s="7" t="s">
        <v>137</v>
      </c>
    </row>
    <row r="2769" spans="2:2" x14ac:dyDescent="0.2">
      <c r="B2769" s="7" t="s">
        <v>393</v>
      </c>
    </row>
    <row r="2770" spans="2:2" x14ac:dyDescent="0.2">
      <c r="B2770" s="7" t="s">
        <v>521</v>
      </c>
    </row>
    <row r="2771" spans="2:2" x14ac:dyDescent="0.2">
      <c r="B2771" s="7" t="s">
        <v>222</v>
      </c>
    </row>
    <row r="2772" spans="2:2" x14ac:dyDescent="0.2">
      <c r="B2772" s="7" t="s">
        <v>319</v>
      </c>
    </row>
    <row r="2773" spans="2:2" x14ac:dyDescent="0.2">
      <c r="B2773" s="7" t="s">
        <v>200</v>
      </c>
    </row>
    <row r="2774" spans="2:2" x14ac:dyDescent="0.2">
      <c r="B2774" s="7" t="s">
        <v>364</v>
      </c>
    </row>
    <row r="2775" spans="2:2" x14ac:dyDescent="0.2">
      <c r="B2775" s="7" t="s">
        <v>177</v>
      </c>
    </row>
    <row r="2776" spans="2:2" x14ac:dyDescent="0.2">
      <c r="B2776" s="7" t="s">
        <v>397</v>
      </c>
    </row>
    <row r="2777" spans="2:2" x14ac:dyDescent="0.2">
      <c r="B2777" s="7" t="s">
        <v>259</v>
      </c>
    </row>
    <row r="2778" spans="2:2" x14ac:dyDescent="0.2">
      <c r="B2778" s="7" t="s">
        <v>52</v>
      </c>
    </row>
    <row r="2779" spans="2:2" x14ac:dyDescent="0.2">
      <c r="B2779" s="7" t="s">
        <v>454</v>
      </c>
    </row>
    <row r="2780" spans="2:2" x14ac:dyDescent="0.2">
      <c r="B2780" s="7" t="s">
        <v>300</v>
      </c>
    </row>
    <row r="2781" spans="2:2" x14ac:dyDescent="0.2">
      <c r="B2781" s="7" t="s">
        <v>215</v>
      </c>
    </row>
    <row r="2782" spans="2:2" x14ac:dyDescent="0.2">
      <c r="B2782" s="7" t="s">
        <v>134</v>
      </c>
    </row>
    <row r="2783" spans="2:2" x14ac:dyDescent="0.2">
      <c r="B2783" s="7" t="s">
        <v>653</v>
      </c>
    </row>
    <row r="2784" spans="2:2" x14ac:dyDescent="0.2">
      <c r="B2784" s="7" t="s">
        <v>367</v>
      </c>
    </row>
    <row r="2785" spans="2:2" x14ac:dyDescent="0.2">
      <c r="B2785" s="7" t="s">
        <v>263</v>
      </c>
    </row>
    <row r="2786" spans="2:2" x14ac:dyDescent="0.2">
      <c r="B2786" s="7" t="s">
        <v>59</v>
      </c>
    </row>
    <row r="2787" spans="2:2" x14ac:dyDescent="0.2">
      <c r="B2787" s="7" t="s">
        <v>616</v>
      </c>
    </row>
    <row r="2788" spans="2:2" x14ac:dyDescent="0.2">
      <c r="B2788" s="7" t="s">
        <v>306</v>
      </c>
    </row>
    <row r="2789" spans="2:2" x14ac:dyDescent="0.2">
      <c r="B2789" s="7" t="s">
        <v>62</v>
      </c>
    </row>
    <row r="2790" spans="2:2" x14ac:dyDescent="0.2">
      <c r="B2790" s="7" t="s">
        <v>282</v>
      </c>
    </row>
    <row r="2791" spans="2:2" x14ac:dyDescent="0.2">
      <c r="B2791" s="7" t="s">
        <v>112</v>
      </c>
    </row>
    <row r="2792" spans="2:2" x14ac:dyDescent="0.2">
      <c r="B2792" s="7" t="s">
        <v>67</v>
      </c>
    </row>
    <row r="2793" spans="2:2" x14ac:dyDescent="0.2">
      <c r="B2793" s="7" t="s">
        <v>343</v>
      </c>
    </row>
    <row r="2794" spans="2:2" x14ac:dyDescent="0.2">
      <c r="B2794" s="7" t="s">
        <v>70</v>
      </c>
    </row>
    <row r="2795" spans="2:2" x14ac:dyDescent="0.2">
      <c r="B2795" s="7" t="s">
        <v>72</v>
      </c>
    </row>
    <row r="2796" spans="2:2" x14ac:dyDescent="0.2">
      <c r="B2796" s="7" t="s">
        <v>114</v>
      </c>
    </row>
    <row r="2797" spans="2:2" x14ac:dyDescent="0.2">
      <c r="B2797" s="7" t="s">
        <v>400</v>
      </c>
    </row>
    <row r="2798" spans="2:2" x14ac:dyDescent="0.2">
      <c r="B2798" s="7" t="s">
        <v>267</v>
      </c>
    </row>
    <row r="2799" spans="2:2" x14ac:dyDescent="0.2">
      <c r="B2799" s="7" t="s">
        <v>75</v>
      </c>
    </row>
    <row r="2800" spans="2:2" x14ac:dyDescent="0.2">
      <c r="B2800" s="7" t="s">
        <v>375</v>
      </c>
    </row>
    <row r="2801" spans="2:2" x14ac:dyDescent="0.2">
      <c r="B2801" s="7" t="s">
        <v>116</v>
      </c>
    </row>
    <row r="2802" spans="2:2" x14ac:dyDescent="0.2">
      <c r="B2802" s="7" t="s">
        <v>117</v>
      </c>
    </row>
    <row r="2803" spans="2:2" x14ac:dyDescent="0.2">
      <c r="B2803" s="7" t="s">
        <v>202</v>
      </c>
    </row>
    <row r="2804" spans="2:2" x14ac:dyDescent="0.2">
      <c r="B2804" s="7" t="s">
        <v>118</v>
      </c>
    </row>
    <row r="2805" spans="2:2" x14ac:dyDescent="0.2">
      <c r="B2805" s="7" t="s">
        <v>227</v>
      </c>
    </row>
    <row r="2806" spans="2:2" x14ac:dyDescent="0.2">
      <c r="B2806" s="7" t="s">
        <v>270</v>
      </c>
    </row>
    <row r="2807" spans="2:2" x14ac:dyDescent="0.2">
      <c r="B2807" s="7" t="s">
        <v>355</v>
      </c>
    </row>
    <row r="2808" spans="2:2" x14ac:dyDescent="0.2">
      <c r="B2808" s="7" t="s">
        <v>327</v>
      </c>
    </row>
    <row r="2809" spans="2:2" x14ac:dyDescent="0.2">
      <c r="B2809" s="7" t="s">
        <v>382</v>
      </c>
    </row>
    <row r="2810" spans="2:2" x14ac:dyDescent="0.2">
      <c r="B2810" s="7" t="s">
        <v>162</v>
      </c>
    </row>
    <row r="2811" spans="2:2" x14ac:dyDescent="0.2">
      <c r="B2811" s="7" t="s">
        <v>383</v>
      </c>
    </row>
    <row r="2812" spans="2:2" x14ac:dyDescent="0.2">
      <c r="B2812" s="7" t="s">
        <v>272</v>
      </c>
    </row>
    <row r="2813" spans="2:2" x14ac:dyDescent="0.2">
      <c r="B2813" s="7" t="s">
        <v>384</v>
      </c>
    </row>
    <row r="2814" spans="2:2" x14ac:dyDescent="0.2">
      <c r="B2814" s="7" t="s">
        <v>376</v>
      </c>
    </row>
    <row r="2815" spans="2:2" x14ac:dyDescent="0.2">
      <c r="B2815" s="7" t="s">
        <v>368</v>
      </c>
    </row>
    <row r="2816" spans="2:2" x14ac:dyDescent="0.2">
      <c r="B2816" s="7" t="s">
        <v>273</v>
      </c>
    </row>
    <row r="2817" spans="1:2" x14ac:dyDescent="0.2">
      <c r="B2817" s="7" t="s">
        <v>208</v>
      </c>
    </row>
    <row r="2818" spans="1:2" x14ac:dyDescent="0.2">
      <c r="B2818" s="7" t="s">
        <v>228</v>
      </c>
    </row>
    <row r="2819" spans="1:2" x14ac:dyDescent="0.2">
      <c r="B2819" s="7" t="s">
        <v>331</v>
      </c>
    </row>
    <row r="2820" spans="1:2" x14ac:dyDescent="0.2">
      <c r="B2820" s="7" t="s">
        <v>669</v>
      </c>
    </row>
    <row r="2821" spans="1:2" x14ac:dyDescent="0.2">
      <c r="B2821" s="7" t="s">
        <v>649</v>
      </c>
    </row>
    <row r="2822" spans="1:2" x14ac:dyDescent="0.2">
      <c r="B2822" s="7" t="s">
        <v>98</v>
      </c>
    </row>
    <row r="2823" spans="1:2" x14ac:dyDescent="0.2">
      <c r="B2823" s="7" t="s">
        <v>99</v>
      </c>
    </row>
    <row r="2824" spans="1:2" x14ac:dyDescent="0.2">
      <c r="B2824" s="7" t="s">
        <v>100</v>
      </c>
    </row>
    <row r="2825" spans="1:2" x14ac:dyDescent="0.2">
      <c r="B2825" s="7" t="s">
        <v>508</v>
      </c>
    </row>
    <row r="2826" spans="1:2" x14ac:dyDescent="0.2">
      <c r="B2826" s="7" t="s">
        <v>119</v>
      </c>
    </row>
    <row r="2827" spans="1:2" x14ac:dyDescent="0.2">
      <c r="B2827" s="7" t="s">
        <v>275</v>
      </c>
    </row>
    <row r="2828" spans="1:2" x14ac:dyDescent="0.2">
      <c r="B2828" s="7" t="s">
        <v>101</v>
      </c>
    </row>
    <row r="2829" spans="1:2" x14ac:dyDescent="0.2">
      <c r="B2829" s="7" t="s">
        <v>613</v>
      </c>
    </row>
    <row r="2830" spans="1:2" x14ac:dyDescent="0.2">
      <c r="A2830" s="7" t="s">
        <v>680</v>
      </c>
      <c r="B2830" s="7" t="s">
        <v>107</v>
      </c>
    </row>
    <row r="2831" spans="1:2" x14ac:dyDescent="0.2">
      <c r="B2831" s="7" t="s">
        <v>380</v>
      </c>
    </row>
    <row r="2832" spans="1:2" x14ac:dyDescent="0.2">
      <c r="B2832" s="7" t="s">
        <v>229</v>
      </c>
    </row>
    <row r="2833" spans="1:2" x14ac:dyDescent="0.2">
      <c r="B2833" s="7" t="s">
        <v>256</v>
      </c>
    </row>
    <row r="2834" spans="1:2" x14ac:dyDescent="0.2">
      <c r="B2834" s="7" t="s">
        <v>381</v>
      </c>
    </row>
    <row r="2835" spans="1:2" x14ac:dyDescent="0.2">
      <c r="B2835" s="7" t="s">
        <v>220</v>
      </c>
    </row>
    <row r="2836" spans="1:2" x14ac:dyDescent="0.2">
      <c r="B2836" s="7" t="s">
        <v>383</v>
      </c>
    </row>
    <row r="2837" spans="1:2" x14ac:dyDescent="0.2">
      <c r="B2837" s="7" t="s">
        <v>331</v>
      </c>
    </row>
    <row r="2838" spans="1:2" x14ac:dyDescent="0.2">
      <c r="B2838" s="7" t="s">
        <v>613</v>
      </c>
    </row>
    <row r="2839" spans="1:2" x14ac:dyDescent="0.2">
      <c r="A2839" s="7" t="s">
        <v>476</v>
      </c>
      <c r="B2839" s="7" t="s">
        <v>284</v>
      </c>
    </row>
    <row r="2840" spans="1:2" x14ac:dyDescent="0.2">
      <c r="B2840" s="7" t="s">
        <v>188</v>
      </c>
    </row>
    <row r="2841" spans="1:2" x14ac:dyDescent="0.2">
      <c r="B2841" s="7" t="s">
        <v>216</v>
      </c>
    </row>
    <row r="2842" spans="1:2" x14ac:dyDescent="0.2">
      <c r="B2842" s="7" t="s">
        <v>146</v>
      </c>
    </row>
    <row r="2843" spans="1:2" x14ac:dyDescent="0.2">
      <c r="B2843" s="7" t="s">
        <v>255</v>
      </c>
    </row>
    <row r="2844" spans="1:2" x14ac:dyDescent="0.2">
      <c r="B2844" s="7" t="s">
        <v>149</v>
      </c>
    </row>
    <row r="2845" spans="1:2" x14ac:dyDescent="0.2">
      <c r="B2845" s="7" t="s">
        <v>257</v>
      </c>
    </row>
    <row r="2846" spans="1:2" x14ac:dyDescent="0.2">
      <c r="B2846" s="7" t="s">
        <v>268</v>
      </c>
    </row>
    <row r="2847" spans="1:2" x14ac:dyDescent="0.2">
      <c r="B2847" s="7" t="s">
        <v>326</v>
      </c>
    </row>
    <row r="2848" spans="1:2" x14ac:dyDescent="0.2">
      <c r="A2848" s="7" t="s">
        <v>184</v>
      </c>
      <c r="B2848" s="7" t="s">
        <v>183</v>
      </c>
    </row>
    <row r="2849" spans="2:2" x14ac:dyDescent="0.2">
      <c r="B2849" s="7" t="s">
        <v>185</v>
      </c>
    </row>
    <row r="2850" spans="2:2" x14ac:dyDescent="0.2">
      <c r="B2850" s="7" t="s">
        <v>186</v>
      </c>
    </row>
    <row r="2851" spans="2:2" x14ac:dyDescent="0.2">
      <c r="B2851" s="7" t="s">
        <v>187</v>
      </c>
    </row>
    <row r="2852" spans="2:2" x14ac:dyDescent="0.2">
      <c r="B2852" s="7" t="s">
        <v>188</v>
      </c>
    </row>
    <row r="2853" spans="2:2" x14ac:dyDescent="0.2">
      <c r="B2853" s="7" t="s">
        <v>189</v>
      </c>
    </row>
    <row r="2854" spans="2:2" x14ac:dyDescent="0.2">
      <c r="B2854" s="7" t="s">
        <v>190</v>
      </c>
    </row>
    <row r="2855" spans="2:2" x14ac:dyDescent="0.2">
      <c r="B2855" s="7" t="s">
        <v>133</v>
      </c>
    </row>
    <row r="2856" spans="2:2" x14ac:dyDescent="0.2">
      <c r="B2856" s="7" t="s">
        <v>20</v>
      </c>
    </row>
    <row r="2857" spans="2:2" x14ac:dyDescent="0.2">
      <c r="B2857" s="7" t="s">
        <v>191</v>
      </c>
    </row>
    <row r="2858" spans="2:2" x14ac:dyDescent="0.2">
      <c r="B2858" s="7" t="s">
        <v>193</v>
      </c>
    </row>
    <row r="2859" spans="2:2" x14ac:dyDescent="0.2">
      <c r="B2859" s="7" t="s">
        <v>194</v>
      </c>
    </row>
    <row r="2860" spans="2:2" x14ac:dyDescent="0.2">
      <c r="B2860" s="7" t="s">
        <v>195</v>
      </c>
    </row>
    <row r="2861" spans="2:2" x14ac:dyDescent="0.2">
      <c r="B2861" s="7" t="s">
        <v>146</v>
      </c>
    </row>
    <row r="2862" spans="2:2" x14ac:dyDescent="0.2">
      <c r="B2862" s="7" t="s">
        <v>196</v>
      </c>
    </row>
    <row r="2863" spans="2:2" x14ac:dyDescent="0.2">
      <c r="B2863" s="7" t="s">
        <v>197</v>
      </c>
    </row>
    <row r="2864" spans="2:2" x14ac:dyDescent="0.2">
      <c r="B2864" s="7" t="s">
        <v>198</v>
      </c>
    </row>
    <row r="2865" spans="1:2" x14ac:dyDescent="0.2">
      <c r="B2865" s="7" t="s">
        <v>149</v>
      </c>
    </row>
    <row r="2866" spans="1:2" x14ac:dyDescent="0.2">
      <c r="B2866" s="7" t="s">
        <v>199</v>
      </c>
    </row>
    <row r="2867" spans="1:2" x14ac:dyDescent="0.2">
      <c r="B2867" s="7" t="s">
        <v>175</v>
      </c>
    </row>
    <row r="2868" spans="1:2" x14ac:dyDescent="0.2">
      <c r="B2868" s="7" t="s">
        <v>200</v>
      </c>
    </row>
    <row r="2869" spans="1:2" x14ac:dyDescent="0.2">
      <c r="B2869" s="7" t="s">
        <v>150</v>
      </c>
    </row>
    <row r="2870" spans="1:2" x14ac:dyDescent="0.2">
      <c r="B2870" s="7" t="s">
        <v>55</v>
      </c>
    </row>
    <row r="2871" spans="1:2" x14ac:dyDescent="0.2">
      <c r="B2871" s="7" t="s">
        <v>112</v>
      </c>
    </row>
    <row r="2872" spans="1:2" x14ac:dyDescent="0.2">
      <c r="B2872" s="7" t="s">
        <v>201</v>
      </c>
    </row>
    <row r="2873" spans="1:2" x14ac:dyDescent="0.2">
      <c r="B2873" s="7" t="s">
        <v>89</v>
      </c>
    </row>
    <row r="2874" spans="1:2" x14ac:dyDescent="0.2">
      <c r="B2874" s="7" t="s">
        <v>117</v>
      </c>
    </row>
    <row r="2875" spans="1:2" x14ac:dyDescent="0.2">
      <c r="B2875" s="7" t="s">
        <v>202</v>
      </c>
    </row>
    <row r="2876" spans="1:2" x14ac:dyDescent="0.2">
      <c r="B2876" s="7" t="s">
        <v>203</v>
      </c>
    </row>
    <row r="2877" spans="1:2" x14ac:dyDescent="0.2">
      <c r="B2877" s="7" t="s">
        <v>204</v>
      </c>
    </row>
    <row r="2878" spans="1:2" x14ac:dyDescent="0.2">
      <c r="A2878" s="7" t="s">
        <v>640</v>
      </c>
      <c r="B2878" s="7" t="s">
        <v>471</v>
      </c>
    </row>
    <row r="2879" spans="1:2" x14ac:dyDescent="0.2">
      <c r="A2879" s="7" t="s">
        <v>372</v>
      </c>
      <c r="B2879" s="7" t="s">
        <v>205</v>
      </c>
    </row>
    <row r="2880" spans="1:2" x14ac:dyDescent="0.2">
      <c r="B2880" s="7" t="s">
        <v>10</v>
      </c>
    </row>
    <row r="2881" spans="2:2" x14ac:dyDescent="0.2">
      <c r="B2881" s="7" t="s">
        <v>237</v>
      </c>
    </row>
    <row r="2882" spans="2:2" x14ac:dyDescent="0.2">
      <c r="B2882" s="7" t="s">
        <v>288</v>
      </c>
    </row>
    <row r="2883" spans="2:2" x14ac:dyDescent="0.2">
      <c r="B2883" s="7" t="s">
        <v>374</v>
      </c>
    </row>
    <row r="2884" spans="2:2" x14ac:dyDescent="0.2">
      <c r="B2884" s="7" t="s">
        <v>214</v>
      </c>
    </row>
    <row r="2885" spans="2:2" x14ac:dyDescent="0.2">
      <c r="B2885" s="7" t="s">
        <v>216</v>
      </c>
    </row>
    <row r="2886" spans="2:2" x14ac:dyDescent="0.2">
      <c r="B2886" s="7" t="s">
        <v>217</v>
      </c>
    </row>
    <row r="2887" spans="2:2" x14ac:dyDescent="0.2">
      <c r="B2887" s="7" t="s">
        <v>303</v>
      </c>
    </row>
    <row r="2888" spans="2:2" x14ac:dyDescent="0.2">
      <c r="B2888" s="7" t="s">
        <v>107</v>
      </c>
    </row>
    <row r="2889" spans="2:2" x14ac:dyDescent="0.2">
      <c r="B2889" s="7" t="s">
        <v>49</v>
      </c>
    </row>
    <row r="2890" spans="2:2" x14ac:dyDescent="0.2">
      <c r="B2890" s="7" t="s">
        <v>311</v>
      </c>
    </row>
    <row r="2891" spans="2:2" x14ac:dyDescent="0.2">
      <c r="B2891" s="7" t="s">
        <v>222</v>
      </c>
    </row>
    <row r="2892" spans="2:2" x14ac:dyDescent="0.2">
      <c r="B2892" s="7" t="s">
        <v>260</v>
      </c>
    </row>
    <row r="2893" spans="2:2" x14ac:dyDescent="0.2">
      <c r="B2893" s="7" t="s">
        <v>264</v>
      </c>
    </row>
    <row r="2894" spans="2:2" x14ac:dyDescent="0.2">
      <c r="B2894" s="7" t="s">
        <v>375</v>
      </c>
    </row>
    <row r="2895" spans="2:2" x14ac:dyDescent="0.2">
      <c r="B2895" s="7" t="s">
        <v>94</v>
      </c>
    </row>
    <row r="2896" spans="2:2" x14ac:dyDescent="0.2">
      <c r="B2896" s="7" t="s">
        <v>270</v>
      </c>
    </row>
    <row r="2897" spans="1:2" x14ac:dyDescent="0.2">
      <c r="B2897" s="7" t="s">
        <v>376</v>
      </c>
    </row>
    <row r="2898" spans="1:2" x14ac:dyDescent="0.2">
      <c r="B2898" s="7" t="s">
        <v>119</v>
      </c>
    </row>
    <row r="2899" spans="1:2" x14ac:dyDescent="0.2">
      <c r="A2899" s="7" t="s">
        <v>650</v>
      </c>
      <c r="B2899" s="7" t="s">
        <v>283</v>
      </c>
    </row>
    <row r="2900" spans="1:2" x14ac:dyDescent="0.2">
      <c r="B2900" s="7" t="s">
        <v>287</v>
      </c>
    </row>
    <row r="2901" spans="1:2" x14ac:dyDescent="0.2">
      <c r="B2901" s="7" t="s">
        <v>291</v>
      </c>
    </row>
    <row r="2902" spans="1:2" x14ac:dyDescent="0.2">
      <c r="B2902" s="7" t="s">
        <v>212</v>
      </c>
    </row>
    <row r="2903" spans="1:2" x14ac:dyDescent="0.2">
      <c r="B2903" s="7" t="s">
        <v>464</v>
      </c>
    </row>
    <row r="2904" spans="1:2" x14ac:dyDescent="0.2">
      <c r="B2904" s="7" t="s">
        <v>138</v>
      </c>
    </row>
    <row r="2905" spans="1:2" x14ac:dyDescent="0.2">
      <c r="B2905" s="7" t="s">
        <v>303</v>
      </c>
    </row>
    <row r="2906" spans="1:2" x14ac:dyDescent="0.2">
      <c r="B2906" s="7" t="s">
        <v>137</v>
      </c>
    </row>
    <row r="2907" spans="1:2" x14ac:dyDescent="0.2">
      <c r="B2907" s="7" t="s">
        <v>320</v>
      </c>
    </row>
    <row r="2908" spans="1:2" x14ac:dyDescent="0.2">
      <c r="B2908" s="7" t="s">
        <v>226</v>
      </c>
    </row>
    <row r="2909" spans="1:2" x14ac:dyDescent="0.2">
      <c r="B2909" s="7" t="s">
        <v>326</v>
      </c>
    </row>
    <row r="2910" spans="1:2" x14ac:dyDescent="0.2">
      <c r="B2910" s="7" t="s">
        <v>271</v>
      </c>
    </row>
    <row r="2911" spans="1:2" x14ac:dyDescent="0.2">
      <c r="B2911" s="7" t="s">
        <v>102</v>
      </c>
    </row>
    <row r="2912" spans="1:2" x14ac:dyDescent="0.2">
      <c r="B2912" s="7" t="s">
        <v>346</v>
      </c>
    </row>
    <row r="2913" spans="1:2" x14ac:dyDescent="0.2">
      <c r="A2913" s="7" t="s">
        <v>645</v>
      </c>
      <c r="B2913" s="7" t="s">
        <v>283</v>
      </c>
    </row>
    <row r="2914" spans="1:2" x14ac:dyDescent="0.2">
      <c r="B2914" s="7" t="s">
        <v>646</v>
      </c>
    </row>
    <row r="2915" spans="1:2" x14ac:dyDescent="0.2">
      <c r="B2915" s="7" t="s">
        <v>209</v>
      </c>
    </row>
    <row r="2916" spans="1:2" x14ac:dyDescent="0.2">
      <c r="B2916" s="7" t="s">
        <v>287</v>
      </c>
    </row>
    <row r="2917" spans="1:2" x14ac:dyDescent="0.2">
      <c r="B2917" s="7" t="s">
        <v>288</v>
      </c>
    </row>
    <row r="2918" spans="1:2" x14ac:dyDescent="0.2">
      <c r="B2918" s="7" t="s">
        <v>291</v>
      </c>
    </row>
    <row r="2919" spans="1:2" x14ac:dyDescent="0.2">
      <c r="B2919" s="7" t="s">
        <v>292</v>
      </c>
    </row>
    <row r="2920" spans="1:2" x14ac:dyDescent="0.2">
      <c r="B2920" s="7" t="s">
        <v>293</v>
      </c>
    </row>
    <row r="2921" spans="1:2" x14ac:dyDescent="0.2">
      <c r="B2921" s="7" t="s">
        <v>212</v>
      </c>
    </row>
    <row r="2922" spans="1:2" x14ac:dyDescent="0.2">
      <c r="B2922" s="7" t="s">
        <v>296</v>
      </c>
    </row>
    <row r="2923" spans="1:2" x14ac:dyDescent="0.2">
      <c r="B2923" s="7" t="s">
        <v>16</v>
      </c>
    </row>
    <row r="2924" spans="1:2" x14ac:dyDescent="0.2">
      <c r="B2924" s="7" t="s">
        <v>138</v>
      </c>
    </row>
    <row r="2925" spans="1:2" x14ac:dyDescent="0.2">
      <c r="B2925" s="7" t="s">
        <v>214</v>
      </c>
    </row>
    <row r="2926" spans="1:2" x14ac:dyDescent="0.2">
      <c r="B2926" s="7" t="s">
        <v>25</v>
      </c>
    </row>
    <row r="2927" spans="1:2" x14ac:dyDescent="0.2">
      <c r="B2927" s="7" t="s">
        <v>298</v>
      </c>
    </row>
    <row r="2928" spans="1:2" x14ac:dyDescent="0.2">
      <c r="B2928" s="7" t="s">
        <v>216</v>
      </c>
    </row>
    <row r="2929" spans="2:2" x14ac:dyDescent="0.2">
      <c r="B2929" s="7" t="s">
        <v>516</v>
      </c>
    </row>
    <row r="2930" spans="2:2" x14ac:dyDescent="0.2">
      <c r="B2930" s="7" t="s">
        <v>33</v>
      </c>
    </row>
    <row r="2931" spans="2:2" x14ac:dyDescent="0.2">
      <c r="B2931" s="7" t="s">
        <v>303</v>
      </c>
    </row>
    <row r="2932" spans="2:2" x14ac:dyDescent="0.2">
      <c r="B2932" s="7" t="s">
        <v>542</v>
      </c>
    </row>
    <row r="2933" spans="2:2" x14ac:dyDescent="0.2">
      <c r="B2933" s="7" t="s">
        <v>41</v>
      </c>
    </row>
    <row r="2934" spans="2:2" x14ac:dyDescent="0.2">
      <c r="B2934" s="7" t="s">
        <v>308</v>
      </c>
    </row>
    <row r="2935" spans="2:2" x14ac:dyDescent="0.2">
      <c r="B2935" s="7" t="s">
        <v>174</v>
      </c>
    </row>
    <row r="2936" spans="2:2" x14ac:dyDescent="0.2">
      <c r="B2936" s="7" t="s">
        <v>340</v>
      </c>
    </row>
    <row r="2937" spans="2:2" x14ac:dyDescent="0.2">
      <c r="B2937" s="7" t="s">
        <v>317</v>
      </c>
    </row>
    <row r="2938" spans="2:2" x14ac:dyDescent="0.2">
      <c r="B2938" s="7" t="s">
        <v>398</v>
      </c>
    </row>
    <row r="2939" spans="2:2" x14ac:dyDescent="0.2">
      <c r="B2939" s="7" t="s">
        <v>341</v>
      </c>
    </row>
    <row r="2940" spans="2:2" x14ac:dyDescent="0.2">
      <c r="B2940" s="7" t="s">
        <v>260</v>
      </c>
    </row>
    <row r="2941" spans="2:2" x14ac:dyDescent="0.2">
      <c r="B2941" s="7" t="s">
        <v>468</v>
      </c>
    </row>
    <row r="2942" spans="2:2" x14ac:dyDescent="0.2">
      <c r="B2942" s="7" t="s">
        <v>318</v>
      </c>
    </row>
    <row r="2943" spans="2:2" x14ac:dyDescent="0.2">
      <c r="B2943" s="7" t="s">
        <v>224</v>
      </c>
    </row>
    <row r="2944" spans="2:2" x14ac:dyDescent="0.2">
      <c r="B2944" s="7" t="s">
        <v>261</v>
      </c>
    </row>
    <row r="2945" spans="1:2" x14ac:dyDescent="0.2">
      <c r="B2945" s="7" t="s">
        <v>320</v>
      </c>
    </row>
    <row r="2946" spans="1:2" x14ac:dyDescent="0.2">
      <c r="B2946" s="7" t="s">
        <v>64</v>
      </c>
    </row>
    <row r="2947" spans="1:2" x14ac:dyDescent="0.2">
      <c r="B2947" s="7" t="s">
        <v>326</v>
      </c>
    </row>
    <row r="2948" spans="1:2" x14ac:dyDescent="0.2">
      <c r="B2948" s="7" t="s">
        <v>227</v>
      </c>
    </row>
    <row r="2949" spans="1:2" x14ac:dyDescent="0.2">
      <c r="B2949" s="7" t="s">
        <v>271</v>
      </c>
    </row>
    <row r="2950" spans="1:2" x14ac:dyDescent="0.2">
      <c r="B2950" s="7" t="s">
        <v>649</v>
      </c>
    </row>
    <row r="2951" spans="1:2" x14ac:dyDescent="0.2">
      <c r="B2951" s="7" t="s">
        <v>102</v>
      </c>
    </row>
    <row r="2952" spans="1:2" x14ac:dyDescent="0.2">
      <c r="B2952" s="7" t="s">
        <v>346</v>
      </c>
    </row>
    <row r="2953" spans="1:2" x14ac:dyDescent="0.2">
      <c r="A2953" s="7" t="s">
        <v>628</v>
      </c>
      <c r="B2953" s="7" t="s">
        <v>183</v>
      </c>
    </row>
    <row r="2954" spans="1:2" x14ac:dyDescent="0.2">
      <c r="B2954" s="7" t="s">
        <v>106</v>
      </c>
    </row>
    <row r="2955" spans="1:2" x14ac:dyDescent="0.2">
      <c r="B2955" s="7" t="s">
        <v>301</v>
      </c>
    </row>
    <row r="2956" spans="1:2" x14ac:dyDescent="0.2">
      <c r="B2956" s="7" t="s">
        <v>128</v>
      </c>
    </row>
    <row r="2957" spans="1:2" x14ac:dyDescent="0.2">
      <c r="B2957" s="7" t="s">
        <v>381</v>
      </c>
    </row>
    <row r="2958" spans="1:2" x14ac:dyDescent="0.2">
      <c r="B2958" s="7" t="s">
        <v>150</v>
      </c>
    </row>
    <row r="2959" spans="1:2" x14ac:dyDescent="0.2">
      <c r="B2959" s="7" t="s">
        <v>145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418"/>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17.42578125" customWidth="1"/>
    <col min="2" max="2" width="29.5703125" customWidth="1"/>
  </cols>
  <sheetData>
    <row r="1" spans="1:2" x14ac:dyDescent="0.2">
      <c r="A1" s="7" t="s">
        <v>3</v>
      </c>
      <c r="B1" s="7" t="s">
        <v>1</v>
      </c>
    </row>
    <row r="2" spans="1:2" x14ac:dyDescent="0.2">
      <c r="A2" s="7" t="s">
        <v>235</v>
      </c>
      <c r="B2" s="7" t="s">
        <v>233</v>
      </c>
    </row>
    <row r="3" spans="1:2" x14ac:dyDescent="0.2">
      <c r="B3" s="7" t="s">
        <v>207</v>
      </c>
    </row>
    <row r="4" spans="1:2" x14ac:dyDescent="0.2">
      <c r="B4" s="7" t="s">
        <v>278</v>
      </c>
    </row>
    <row r="5" spans="1:2" x14ac:dyDescent="0.2">
      <c r="B5" s="7" t="s">
        <v>236</v>
      </c>
    </row>
    <row r="6" spans="1:2" x14ac:dyDescent="0.2">
      <c r="B6" s="7" t="s">
        <v>183</v>
      </c>
    </row>
    <row r="7" spans="1:2" x14ac:dyDescent="0.2">
      <c r="B7" s="7" t="s">
        <v>124</v>
      </c>
    </row>
    <row r="8" spans="1:2" x14ac:dyDescent="0.2">
      <c r="B8" s="7" t="s">
        <v>103</v>
      </c>
    </row>
    <row r="9" spans="1:2" x14ac:dyDescent="0.2">
      <c r="B9" s="7" t="s">
        <v>10</v>
      </c>
    </row>
    <row r="10" spans="1:2" x14ac:dyDescent="0.2">
      <c r="B10" s="7" t="s">
        <v>237</v>
      </c>
    </row>
    <row r="11" spans="1:2" x14ac:dyDescent="0.2">
      <c r="B11" s="7" t="s">
        <v>186</v>
      </c>
    </row>
    <row r="12" spans="1:2" x14ac:dyDescent="0.2">
      <c r="B12" s="7" t="s">
        <v>187</v>
      </c>
    </row>
    <row r="13" spans="1:2" x14ac:dyDescent="0.2">
      <c r="B13" s="7" t="s">
        <v>127</v>
      </c>
    </row>
    <row r="14" spans="1:2" x14ac:dyDescent="0.2">
      <c r="B14" s="7" t="s">
        <v>11</v>
      </c>
    </row>
    <row r="15" spans="1:2" x14ac:dyDescent="0.2">
      <c r="B15" s="7" t="s">
        <v>210</v>
      </c>
    </row>
    <row r="16" spans="1:2" x14ac:dyDescent="0.2">
      <c r="B16" s="7" t="s">
        <v>349</v>
      </c>
    </row>
    <row r="17" spans="2:2" x14ac:dyDescent="0.2">
      <c r="B17" s="7" t="s">
        <v>291</v>
      </c>
    </row>
    <row r="18" spans="2:2" x14ac:dyDescent="0.2">
      <c r="B18" s="7" t="s">
        <v>532</v>
      </c>
    </row>
    <row r="19" spans="2:2" x14ac:dyDescent="0.2">
      <c r="B19" s="7" t="s">
        <v>238</v>
      </c>
    </row>
    <row r="20" spans="2:2" x14ac:dyDescent="0.2">
      <c r="B20" s="7" t="s">
        <v>292</v>
      </c>
    </row>
    <row r="21" spans="2:2" x14ac:dyDescent="0.2">
      <c r="B21" s="7" t="s">
        <v>239</v>
      </c>
    </row>
    <row r="22" spans="2:2" x14ac:dyDescent="0.2">
      <c r="B22" s="7" t="s">
        <v>16</v>
      </c>
    </row>
    <row r="23" spans="2:2" x14ac:dyDescent="0.2">
      <c r="B23" s="7" t="s">
        <v>378</v>
      </c>
    </row>
    <row r="24" spans="2:2" x14ac:dyDescent="0.2">
      <c r="B24" s="7" t="s">
        <v>20</v>
      </c>
    </row>
    <row r="25" spans="2:2" x14ac:dyDescent="0.2">
      <c r="B25" s="7" t="s">
        <v>138</v>
      </c>
    </row>
    <row r="26" spans="2:2" x14ac:dyDescent="0.2">
      <c r="B26" s="7" t="s">
        <v>338</v>
      </c>
    </row>
    <row r="27" spans="2:2" x14ac:dyDescent="0.2">
      <c r="B27" s="7" t="s">
        <v>241</v>
      </c>
    </row>
    <row r="28" spans="2:2" x14ac:dyDescent="0.2">
      <c r="B28" s="7" t="s">
        <v>214</v>
      </c>
    </row>
    <row r="29" spans="2:2" x14ac:dyDescent="0.2">
      <c r="B29" s="7" t="s">
        <v>242</v>
      </c>
    </row>
    <row r="30" spans="2:2" x14ac:dyDescent="0.2">
      <c r="B30" s="7" t="s">
        <v>389</v>
      </c>
    </row>
    <row r="31" spans="2:2" x14ac:dyDescent="0.2">
      <c r="B31" s="7" t="s">
        <v>243</v>
      </c>
    </row>
    <row r="32" spans="2:2" x14ac:dyDescent="0.2">
      <c r="B32" s="7" t="s">
        <v>244</v>
      </c>
    </row>
    <row r="33" spans="2:2" x14ac:dyDescent="0.2">
      <c r="B33" s="7" t="s">
        <v>139</v>
      </c>
    </row>
    <row r="34" spans="2:2" x14ac:dyDescent="0.2">
      <c r="B34" s="7" t="s">
        <v>246</v>
      </c>
    </row>
    <row r="35" spans="2:2" x14ac:dyDescent="0.2">
      <c r="B35" s="7" t="s">
        <v>247</v>
      </c>
    </row>
    <row r="36" spans="2:2" x14ac:dyDescent="0.2">
      <c r="B36" s="7" t="s">
        <v>249</v>
      </c>
    </row>
    <row r="37" spans="2:2" x14ac:dyDescent="0.2">
      <c r="B37" s="7" t="s">
        <v>191</v>
      </c>
    </row>
    <row r="38" spans="2:2" x14ac:dyDescent="0.2">
      <c r="B38" s="7" t="s">
        <v>31</v>
      </c>
    </row>
    <row r="39" spans="2:2" x14ac:dyDescent="0.2">
      <c r="B39" s="7" t="s">
        <v>301</v>
      </c>
    </row>
    <row r="40" spans="2:2" x14ac:dyDescent="0.2">
      <c r="B40" s="7" t="s">
        <v>350</v>
      </c>
    </row>
    <row r="41" spans="2:2" x14ac:dyDescent="0.2">
      <c r="B41" s="7" t="s">
        <v>250</v>
      </c>
    </row>
    <row r="42" spans="2:2" x14ac:dyDescent="0.2">
      <c r="B42" s="7" t="s">
        <v>251</v>
      </c>
    </row>
    <row r="43" spans="2:2" x14ac:dyDescent="0.2">
      <c r="B43" s="7" t="s">
        <v>253</v>
      </c>
    </row>
    <row r="44" spans="2:2" x14ac:dyDescent="0.2">
      <c r="B44" s="7" t="s">
        <v>194</v>
      </c>
    </row>
    <row r="45" spans="2:2" x14ac:dyDescent="0.2">
      <c r="B45" s="7" t="s">
        <v>451</v>
      </c>
    </row>
    <row r="46" spans="2:2" x14ac:dyDescent="0.2">
      <c r="B46" s="7" t="s">
        <v>362</v>
      </c>
    </row>
    <row r="47" spans="2:2" x14ac:dyDescent="0.2">
      <c r="B47" s="7" t="s">
        <v>604</v>
      </c>
    </row>
    <row r="48" spans="2:2" x14ac:dyDescent="0.2">
      <c r="B48" s="7" t="s">
        <v>303</v>
      </c>
    </row>
    <row r="49" spans="2:2" x14ac:dyDescent="0.2">
      <c r="B49" s="7" t="s">
        <v>254</v>
      </c>
    </row>
    <row r="50" spans="2:2" x14ac:dyDescent="0.2">
      <c r="B50" s="7" t="s">
        <v>255</v>
      </c>
    </row>
    <row r="51" spans="2:2" x14ac:dyDescent="0.2">
      <c r="B51" s="7" t="s">
        <v>229</v>
      </c>
    </row>
    <row r="52" spans="2:2" x14ac:dyDescent="0.2">
      <c r="B52" s="7" t="s">
        <v>256</v>
      </c>
    </row>
    <row r="53" spans="2:2" x14ac:dyDescent="0.2">
      <c r="B53" s="7" t="s">
        <v>41</v>
      </c>
    </row>
    <row r="54" spans="2:2" x14ac:dyDescent="0.2">
      <c r="B54" s="7" t="s">
        <v>43</v>
      </c>
    </row>
    <row r="55" spans="2:2" x14ac:dyDescent="0.2">
      <c r="B55" s="7" t="s">
        <v>198</v>
      </c>
    </row>
    <row r="56" spans="2:2" x14ac:dyDescent="0.2">
      <c r="B56" s="7" t="s">
        <v>49</v>
      </c>
    </row>
    <row r="57" spans="2:2" x14ac:dyDescent="0.2">
      <c r="B57" s="7" t="s">
        <v>310</v>
      </c>
    </row>
    <row r="58" spans="2:2" x14ac:dyDescent="0.2">
      <c r="B58" s="7" t="s">
        <v>311</v>
      </c>
    </row>
    <row r="59" spans="2:2" x14ac:dyDescent="0.2">
      <c r="B59" s="7" t="s">
        <v>314</v>
      </c>
    </row>
    <row r="60" spans="2:2" x14ac:dyDescent="0.2">
      <c r="B60" s="7" t="s">
        <v>221</v>
      </c>
    </row>
    <row r="61" spans="2:2" x14ac:dyDescent="0.2">
      <c r="B61" s="7" t="s">
        <v>200</v>
      </c>
    </row>
    <row r="62" spans="2:2" x14ac:dyDescent="0.2">
      <c r="B62" s="7" t="s">
        <v>364</v>
      </c>
    </row>
    <row r="63" spans="2:2" x14ac:dyDescent="0.2">
      <c r="B63" s="7" t="s">
        <v>259</v>
      </c>
    </row>
    <row r="64" spans="2:2" x14ac:dyDescent="0.2">
      <c r="B64" s="7" t="s">
        <v>178</v>
      </c>
    </row>
    <row r="65" spans="2:2" x14ac:dyDescent="0.2">
      <c r="B65" s="7" t="s">
        <v>419</v>
      </c>
    </row>
    <row r="66" spans="2:2" x14ac:dyDescent="0.2">
      <c r="B66" s="7" t="s">
        <v>366</v>
      </c>
    </row>
    <row r="67" spans="2:2" x14ac:dyDescent="0.2">
      <c r="B67" s="7" t="s">
        <v>260</v>
      </c>
    </row>
    <row r="68" spans="2:2" x14ac:dyDescent="0.2">
      <c r="B68" s="7" t="s">
        <v>215</v>
      </c>
    </row>
    <row r="69" spans="2:2" x14ac:dyDescent="0.2">
      <c r="B69" s="7" t="s">
        <v>261</v>
      </c>
    </row>
    <row r="70" spans="2:2" x14ac:dyDescent="0.2">
      <c r="B70" s="7" t="s">
        <v>262</v>
      </c>
    </row>
    <row r="71" spans="2:2" x14ac:dyDescent="0.2">
      <c r="B71" s="7" t="s">
        <v>263</v>
      </c>
    </row>
    <row r="72" spans="2:2" x14ac:dyDescent="0.2">
      <c r="B72" s="7" t="s">
        <v>390</v>
      </c>
    </row>
    <row r="73" spans="2:2" x14ac:dyDescent="0.2">
      <c r="B73" s="7" t="s">
        <v>306</v>
      </c>
    </row>
    <row r="74" spans="2:2" x14ac:dyDescent="0.2">
      <c r="B74" s="7" t="s">
        <v>62</v>
      </c>
    </row>
    <row r="75" spans="2:2" x14ac:dyDescent="0.2">
      <c r="B75" s="7" t="s">
        <v>232</v>
      </c>
    </row>
    <row r="76" spans="2:2" x14ac:dyDescent="0.2">
      <c r="B76" s="7" t="s">
        <v>264</v>
      </c>
    </row>
    <row r="77" spans="2:2" x14ac:dyDescent="0.2">
      <c r="B77" s="7" t="s">
        <v>67</v>
      </c>
    </row>
    <row r="78" spans="2:2" x14ac:dyDescent="0.2">
      <c r="B78" s="7" t="s">
        <v>201</v>
      </c>
    </row>
    <row r="79" spans="2:2" x14ac:dyDescent="0.2">
      <c r="B79" s="7" t="s">
        <v>72</v>
      </c>
    </row>
    <row r="80" spans="2:2" x14ac:dyDescent="0.2">
      <c r="B80" s="7" t="s">
        <v>114</v>
      </c>
    </row>
    <row r="81" spans="2:2" x14ac:dyDescent="0.2">
      <c r="B81" s="7" t="s">
        <v>265</v>
      </c>
    </row>
    <row r="82" spans="2:2" x14ac:dyDescent="0.2">
      <c r="B82" s="7" t="s">
        <v>158</v>
      </c>
    </row>
    <row r="83" spans="2:2" x14ac:dyDescent="0.2">
      <c r="B83" s="7" t="s">
        <v>266</v>
      </c>
    </row>
    <row r="84" spans="2:2" x14ac:dyDescent="0.2">
      <c r="B84" s="7" t="s">
        <v>267</v>
      </c>
    </row>
    <row r="85" spans="2:2" x14ac:dyDescent="0.2">
      <c r="B85" s="7" t="s">
        <v>268</v>
      </c>
    </row>
    <row r="86" spans="2:2" x14ac:dyDescent="0.2">
      <c r="B86" s="7" t="s">
        <v>391</v>
      </c>
    </row>
    <row r="87" spans="2:2" x14ac:dyDescent="0.2">
      <c r="B87" s="7" t="s">
        <v>87</v>
      </c>
    </row>
    <row r="88" spans="2:2" x14ac:dyDescent="0.2">
      <c r="B88" s="7" t="s">
        <v>90</v>
      </c>
    </row>
    <row r="89" spans="2:2" x14ac:dyDescent="0.2">
      <c r="B89" s="7" t="s">
        <v>92</v>
      </c>
    </row>
    <row r="90" spans="2:2" x14ac:dyDescent="0.2">
      <c r="B90" s="7" t="s">
        <v>117</v>
      </c>
    </row>
    <row r="91" spans="2:2" x14ac:dyDescent="0.2">
      <c r="B91" s="7" t="s">
        <v>94</v>
      </c>
    </row>
    <row r="92" spans="2:2" x14ac:dyDescent="0.2">
      <c r="B92" s="7" t="s">
        <v>269</v>
      </c>
    </row>
    <row r="93" spans="2:2" x14ac:dyDescent="0.2">
      <c r="B93" s="7" t="s">
        <v>161</v>
      </c>
    </row>
    <row r="94" spans="2:2" x14ac:dyDescent="0.2">
      <c r="B94" s="7" t="s">
        <v>326</v>
      </c>
    </row>
    <row r="95" spans="2:2" x14ac:dyDescent="0.2">
      <c r="B95" s="7" t="s">
        <v>227</v>
      </c>
    </row>
    <row r="96" spans="2:2" x14ac:dyDescent="0.2">
      <c r="B96" s="7" t="s">
        <v>270</v>
      </c>
    </row>
    <row r="97" spans="1:2" x14ac:dyDescent="0.2">
      <c r="B97" s="7" t="s">
        <v>327</v>
      </c>
    </row>
    <row r="98" spans="1:2" x14ac:dyDescent="0.2">
      <c r="B98" s="7" t="s">
        <v>272</v>
      </c>
    </row>
    <row r="99" spans="1:2" x14ac:dyDescent="0.2">
      <c r="B99" s="7" t="s">
        <v>537</v>
      </c>
    </row>
    <row r="100" spans="1:2" x14ac:dyDescent="0.2">
      <c r="B100" s="7" t="s">
        <v>273</v>
      </c>
    </row>
    <row r="101" spans="1:2" x14ac:dyDescent="0.2">
      <c r="B101" s="7" t="s">
        <v>98</v>
      </c>
    </row>
    <row r="102" spans="1:2" x14ac:dyDescent="0.2">
      <c r="B102" s="7" t="s">
        <v>100</v>
      </c>
    </row>
    <row r="103" spans="1:2" x14ac:dyDescent="0.2">
      <c r="B103" s="7" t="s">
        <v>119</v>
      </c>
    </row>
    <row r="104" spans="1:2" x14ac:dyDescent="0.2">
      <c r="B104" s="7" t="s">
        <v>275</v>
      </c>
    </row>
    <row r="105" spans="1:2" x14ac:dyDescent="0.2">
      <c r="B105" s="7" t="s">
        <v>120</v>
      </c>
    </row>
    <row r="106" spans="1:2" x14ac:dyDescent="0.2">
      <c r="B106" s="7" t="s">
        <v>181</v>
      </c>
    </row>
    <row r="107" spans="1:2" x14ac:dyDescent="0.2">
      <c r="B107" s="7" t="s">
        <v>204</v>
      </c>
    </row>
    <row r="108" spans="1:2" x14ac:dyDescent="0.2">
      <c r="B108" s="7" t="s">
        <v>276</v>
      </c>
    </row>
    <row r="109" spans="1:2" x14ac:dyDescent="0.2">
      <c r="B109" s="7" t="s">
        <v>182</v>
      </c>
    </row>
    <row r="110" spans="1:2" x14ac:dyDescent="0.2">
      <c r="B110" s="7" t="s">
        <v>122</v>
      </c>
    </row>
    <row r="111" spans="1:2" x14ac:dyDescent="0.2">
      <c r="A111" s="7" t="s">
        <v>105</v>
      </c>
      <c r="B111" s="7" t="s">
        <v>614</v>
      </c>
    </row>
    <row r="112" spans="1:2" x14ac:dyDescent="0.2">
      <c r="B112" s="7" t="s">
        <v>205</v>
      </c>
    </row>
    <row r="113" spans="2:2" x14ac:dyDescent="0.2">
      <c r="B113" s="7" t="s">
        <v>233</v>
      </c>
    </row>
    <row r="114" spans="2:2" x14ac:dyDescent="0.2">
      <c r="B114" s="7" t="s">
        <v>207</v>
      </c>
    </row>
    <row r="115" spans="2:2" x14ac:dyDescent="0.2">
      <c r="B115" s="7" t="s">
        <v>278</v>
      </c>
    </row>
    <row r="116" spans="2:2" x14ac:dyDescent="0.2">
      <c r="B116" s="7" t="s">
        <v>8</v>
      </c>
    </row>
    <row r="117" spans="2:2" x14ac:dyDescent="0.2">
      <c r="B117" s="7" t="s">
        <v>183</v>
      </c>
    </row>
    <row r="118" spans="2:2" x14ac:dyDescent="0.2">
      <c r="B118" s="7" t="s">
        <v>124</v>
      </c>
    </row>
    <row r="119" spans="2:2" x14ac:dyDescent="0.2">
      <c r="B119" s="7" t="s">
        <v>408</v>
      </c>
    </row>
    <row r="120" spans="2:2" x14ac:dyDescent="0.2">
      <c r="B120" s="7" t="s">
        <v>281</v>
      </c>
    </row>
    <row r="121" spans="2:2" x14ac:dyDescent="0.2">
      <c r="B121" s="7" t="s">
        <v>103</v>
      </c>
    </row>
    <row r="122" spans="2:2" x14ac:dyDescent="0.2">
      <c r="B122" s="7" t="s">
        <v>10</v>
      </c>
    </row>
    <row r="123" spans="2:2" x14ac:dyDescent="0.2">
      <c r="B123" s="7" t="s">
        <v>237</v>
      </c>
    </row>
    <row r="124" spans="2:2" x14ac:dyDescent="0.2">
      <c r="B124" s="7" t="s">
        <v>185</v>
      </c>
    </row>
    <row r="125" spans="2:2" x14ac:dyDescent="0.2">
      <c r="B125" s="7" t="s">
        <v>283</v>
      </c>
    </row>
    <row r="126" spans="2:2" x14ac:dyDescent="0.2">
      <c r="B126" s="7" t="s">
        <v>359</v>
      </c>
    </row>
    <row r="127" spans="2:2" x14ac:dyDescent="0.2">
      <c r="B127" s="7" t="s">
        <v>186</v>
      </c>
    </row>
    <row r="128" spans="2:2" x14ac:dyDescent="0.2">
      <c r="B128" s="7" t="s">
        <v>187</v>
      </c>
    </row>
    <row r="129" spans="2:2" x14ac:dyDescent="0.2">
      <c r="B129" s="7" t="s">
        <v>258</v>
      </c>
    </row>
    <row r="130" spans="2:2" x14ac:dyDescent="0.2">
      <c r="B130" s="7" t="s">
        <v>127</v>
      </c>
    </row>
    <row r="131" spans="2:2" x14ac:dyDescent="0.2">
      <c r="B131" s="7" t="s">
        <v>209</v>
      </c>
    </row>
    <row r="132" spans="2:2" x14ac:dyDescent="0.2">
      <c r="B132" s="7" t="s">
        <v>11</v>
      </c>
    </row>
    <row r="133" spans="2:2" x14ac:dyDescent="0.2">
      <c r="B133" s="7" t="s">
        <v>284</v>
      </c>
    </row>
    <row r="134" spans="2:2" x14ac:dyDescent="0.2">
      <c r="B134" s="7" t="s">
        <v>188</v>
      </c>
    </row>
    <row r="135" spans="2:2" x14ac:dyDescent="0.2">
      <c r="B135" s="7" t="s">
        <v>4</v>
      </c>
    </row>
    <row r="136" spans="2:2" x14ac:dyDescent="0.2">
      <c r="B136" s="7" t="s">
        <v>285</v>
      </c>
    </row>
    <row r="137" spans="2:2" x14ac:dyDescent="0.2">
      <c r="B137" s="7" t="s">
        <v>286</v>
      </c>
    </row>
    <row r="138" spans="2:2" x14ac:dyDescent="0.2">
      <c r="B138" s="7" t="s">
        <v>410</v>
      </c>
    </row>
    <row r="139" spans="2:2" x14ac:dyDescent="0.2">
      <c r="B139" s="7" t="s">
        <v>164</v>
      </c>
    </row>
    <row r="140" spans="2:2" x14ac:dyDescent="0.2">
      <c r="B140" s="7" t="s">
        <v>189</v>
      </c>
    </row>
    <row r="141" spans="2:2" x14ac:dyDescent="0.2">
      <c r="B141" s="7" t="s">
        <v>210</v>
      </c>
    </row>
    <row r="142" spans="2:2" x14ac:dyDescent="0.2">
      <c r="B142" s="7" t="s">
        <v>129</v>
      </c>
    </row>
    <row r="143" spans="2:2" x14ac:dyDescent="0.2">
      <c r="B143" s="7" t="s">
        <v>287</v>
      </c>
    </row>
    <row r="144" spans="2:2" x14ac:dyDescent="0.2">
      <c r="B144" s="7" t="s">
        <v>12</v>
      </c>
    </row>
    <row r="145" spans="2:2" x14ac:dyDescent="0.2">
      <c r="B145" s="7" t="s">
        <v>484</v>
      </c>
    </row>
    <row r="146" spans="2:2" x14ac:dyDescent="0.2">
      <c r="B146" s="7" t="s">
        <v>190</v>
      </c>
    </row>
    <row r="147" spans="2:2" x14ac:dyDescent="0.2">
      <c r="B147" s="7" t="s">
        <v>288</v>
      </c>
    </row>
    <row r="148" spans="2:2" x14ac:dyDescent="0.2">
      <c r="B148" s="7" t="s">
        <v>13</v>
      </c>
    </row>
    <row r="149" spans="2:2" x14ac:dyDescent="0.2">
      <c r="B149" s="7" t="s">
        <v>289</v>
      </c>
    </row>
    <row r="150" spans="2:2" x14ac:dyDescent="0.2">
      <c r="B150" s="7" t="s">
        <v>374</v>
      </c>
    </row>
    <row r="151" spans="2:2" x14ac:dyDescent="0.2">
      <c r="B151" s="7" t="s">
        <v>106</v>
      </c>
    </row>
    <row r="152" spans="2:2" x14ac:dyDescent="0.2">
      <c r="B152" s="7" t="s">
        <v>349</v>
      </c>
    </row>
    <row r="153" spans="2:2" x14ac:dyDescent="0.2">
      <c r="B153" s="7" t="s">
        <v>486</v>
      </c>
    </row>
    <row r="154" spans="2:2" x14ac:dyDescent="0.2">
      <c r="B154" s="7" t="s">
        <v>291</v>
      </c>
    </row>
    <row r="155" spans="2:2" x14ac:dyDescent="0.2">
      <c r="B155" s="7" t="s">
        <v>211</v>
      </c>
    </row>
    <row r="156" spans="2:2" x14ac:dyDescent="0.2">
      <c r="B156" s="7" t="s">
        <v>532</v>
      </c>
    </row>
    <row r="157" spans="2:2" x14ac:dyDescent="0.2">
      <c r="B157" s="7" t="s">
        <v>388</v>
      </c>
    </row>
    <row r="158" spans="2:2" x14ac:dyDescent="0.2">
      <c r="B158" s="7" t="s">
        <v>431</v>
      </c>
    </row>
    <row r="159" spans="2:2" x14ac:dyDescent="0.2">
      <c r="B159" s="7" t="s">
        <v>292</v>
      </c>
    </row>
    <row r="160" spans="2:2" x14ac:dyDescent="0.2">
      <c r="B160" s="7" t="s">
        <v>293</v>
      </c>
    </row>
    <row r="161" spans="2:2" x14ac:dyDescent="0.2">
      <c r="B161" s="7" t="s">
        <v>212</v>
      </c>
    </row>
    <row r="162" spans="2:2" x14ac:dyDescent="0.2">
      <c r="B162" s="7" t="s">
        <v>294</v>
      </c>
    </row>
    <row r="163" spans="2:2" x14ac:dyDescent="0.2">
      <c r="B163" s="7" t="s">
        <v>295</v>
      </c>
    </row>
    <row r="164" spans="2:2" x14ac:dyDescent="0.2">
      <c r="B164" s="7" t="s">
        <v>239</v>
      </c>
    </row>
    <row r="165" spans="2:2" x14ac:dyDescent="0.2">
      <c r="B165" s="7" t="s">
        <v>536</v>
      </c>
    </row>
    <row r="166" spans="2:2" x14ac:dyDescent="0.2">
      <c r="B166" s="7" t="s">
        <v>296</v>
      </c>
    </row>
    <row r="167" spans="2:2" x14ac:dyDescent="0.2">
      <c r="B167" s="7" t="s">
        <v>16</v>
      </c>
    </row>
    <row r="168" spans="2:2" x14ac:dyDescent="0.2">
      <c r="B168" s="7" t="s">
        <v>464</v>
      </c>
    </row>
    <row r="169" spans="2:2" x14ac:dyDescent="0.2">
      <c r="B169" s="7" t="s">
        <v>395</v>
      </c>
    </row>
    <row r="170" spans="2:2" x14ac:dyDescent="0.2">
      <c r="B170" s="7" t="s">
        <v>133</v>
      </c>
    </row>
    <row r="171" spans="2:2" x14ac:dyDescent="0.2">
      <c r="B171" s="7" t="s">
        <v>378</v>
      </c>
    </row>
    <row r="172" spans="2:2" x14ac:dyDescent="0.2">
      <c r="B172" s="7" t="s">
        <v>18</v>
      </c>
    </row>
    <row r="173" spans="2:2" x14ac:dyDescent="0.2">
      <c r="B173" s="7" t="s">
        <v>20</v>
      </c>
    </row>
    <row r="174" spans="2:2" x14ac:dyDescent="0.2">
      <c r="B174" s="7" t="s">
        <v>169</v>
      </c>
    </row>
    <row r="175" spans="2:2" x14ac:dyDescent="0.2">
      <c r="B175" s="7" t="s">
        <v>138</v>
      </c>
    </row>
    <row r="176" spans="2:2" x14ac:dyDescent="0.2">
      <c r="B176" s="7" t="s">
        <v>621</v>
      </c>
    </row>
    <row r="177" spans="2:2" x14ac:dyDescent="0.2">
      <c r="B177" s="7" t="s">
        <v>338</v>
      </c>
    </row>
    <row r="178" spans="2:2" x14ac:dyDescent="0.2">
      <c r="B178" s="7" t="s">
        <v>241</v>
      </c>
    </row>
    <row r="179" spans="2:2" x14ac:dyDescent="0.2">
      <c r="B179" s="7" t="s">
        <v>214</v>
      </c>
    </row>
    <row r="180" spans="2:2" x14ac:dyDescent="0.2">
      <c r="B180" s="7" t="s">
        <v>513</v>
      </c>
    </row>
    <row r="181" spans="2:2" x14ac:dyDescent="0.2">
      <c r="B181" s="7" t="s">
        <v>297</v>
      </c>
    </row>
    <row r="182" spans="2:2" x14ac:dyDescent="0.2">
      <c r="B182" s="7" t="s">
        <v>170</v>
      </c>
    </row>
    <row r="183" spans="2:2" x14ac:dyDescent="0.2">
      <c r="B183" s="7" t="s">
        <v>25</v>
      </c>
    </row>
    <row r="184" spans="2:2" x14ac:dyDescent="0.2">
      <c r="B184" s="7" t="s">
        <v>242</v>
      </c>
    </row>
    <row r="185" spans="2:2" x14ac:dyDescent="0.2">
      <c r="B185" s="7" t="s">
        <v>533</v>
      </c>
    </row>
    <row r="186" spans="2:2" x14ac:dyDescent="0.2">
      <c r="B186" s="7" t="s">
        <v>389</v>
      </c>
    </row>
    <row r="187" spans="2:2" x14ac:dyDescent="0.2">
      <c r="B187" s="7" t="s">
        <v>135</v>
      </c>
    </row>
    <row r="188" spans="2:2" x14ac:dyDescent="0.2">
      <c r="B188" s="7" t="s">
        <v>218</v>
      </c>
    </row>
    <row r="189" spans="2:2" x14ac:dyDescent="0.2">
      <c r="B189" s="7" t="s">
        <v>298</v>
      </c>
    </row>
    <row r="190" spans="2:2" x14ac:dyDescent="0.2">
      <c r="B190" s="7" t="s">
        <v>243</v>
      </c>
    </row>
    <row r="191" spans="2:2" x14ac:dyDescent="0.2">
      <c r="B191" s="7" t="s">
        <v>216</v>
      </c>
    </row>
    <row r="192" spans="2:2" x14ac:dyDescent="0.2">
      <c r="B192" s="7" t="s">
        <v>244</v>
      </c>
    </row>
    <row r="193" spans="2:2" x14ac:dyDescent="0.2">
      <c r="B193" s="7" t="s">
        <v>139</v>
      </c>
    </row>
    <row r="194" spans="2:2" x14ac:dyDescent="0.2">
      <c r="B194" s="7" t="s">
        <v>27</v>
      </c>
    </row>
    <row r="195" spans="2:2" x14ac:dyDescent="0.2">
      <c r="B195" s="7" t="s">
        <v>246</v>
      </c>
    </row>
    <row r="196" spans="2:2" x14ac:dyDescent="0.2">
      <c r="B196" s="7" t="s">
        <v>541</v>
      </c>
    </row>
    <row r="197" spans="2:2" x14ac:dyDescent="0.2">
      <c r="B197" s="7" t="s">
        <v>247</v>
      </c>
    </row>
    <row r="198" spans="2:2" x14ac:dyDescent="0.2">
      <c r="B198" s="7" t="s">
        <v>299</v>
      </c>
    </row>
    <row r="199" spans="2:2" x14ac:dyDescent="0.2">
      <c r="B199" s="7" t="s">
        <v>516</v>
      </c>
    </row>
    <row r="200" spans="2:2" x14ac:dyDescent="0.2">
      <c r="B200" s="7" t="s">
        <v>249</v>
      </c>
    </row>
    <row r="201" spans="2:2" x14ac:dyDescent="0.2">
      <c r="B201" s="7" t="s">
        <v>142</v>
      </c>
    </row>
    <row r="202" spans="2:2" x14ac:dyDescent="0.2">
      <c r="B202" s="7" t="s">
        <v>113</v>
      </c>
    </row>
    <row r="203" spans="2:2" x14ac:dyDescent="0.2">
      <c r="B203" s="7" t="s">
        <v>217</v>
      </c>
    </row>
    <row r="204" spans="2:2" x14ac:dyDescent="0.2">
      <c r="B204" s="7" t="s">
        <v>191</v>
      </c>
    </row>
    <row r="205" spans="2:2" x14ac:dyDescent="0.2">
      <c r="B205" s="7" t="s">
        <v>7</v>
      </c>
    </row>
    <row r="206" spans="2:2" x14ac:dyDescent="0.2">
      <c r="B206" s="7" t="s">
        <v>193</v>
      </c>
    </row>
    <row r="207" spans="2:2" x14ac:dyDescent="0.2">
      <c r="B207" s="7" t="s">
        <v>31</v>
      </c>
    </row>
    <row r="208" spans="2:2" x14ac:dyDescent="0.2">
      <c r="B208" s="7" t="s">
        <v>492</v>
      </c>
    </row>
    <row r="209" spans="2:2" x14ac:dyDescent="0.2">
      <c r="B209" s="7" t="s">
        <v>564</v>
      </c>
    </row>
    <row r="210" spans="2:2" x14ac:dyDescent="0.2">
      <c r="B210" s="7" t="s">
        <v>449</v>
      </c>
    </row>
    <row r="211" spans="2:2" x14ac:dyDescent="0.2">
      <c r="B211" s="7" t="s">
        <v>301</v>
      </c>
    </row>
    <row r="212" spans="2:2" x14ac:dyDescent="0.2">
      <c r="B212" s="7" t="s">
        <v>302</v>
      </c>
    </row>
    <row r="213" spans="2:2" x14ac:dyDescent="0.2">
      <c r="B213" s="7" t="s">
        <v>350</v>
      </c>
    </row>
    <row r="214" spans="2:2" x14ac:dyDescent="0.2">
      <c r="B214" s="7" t="s">
        <v>33</v>
      </c>
    </row>
    <row r="215" spans="2:2" x14ac:dyDescent="0.2">
      <c r="B215" s="7" t="s">
        <v>250</v>
      </c>
    </row>
    <row r="216" spans="2:2" x14ac:dyDescent="0.2">
      <c r="B216" s="7" t="s">
        <v>251</v>
      </c>
    </row>
    <row r="217" spans="2:2" x14ac:dyDescent="0.2">
      <c r="B217" s="7" t="s">
        <v>253</v>
      </c>
    </row>
    <row r="218" spans="2:2" x14ac:dyDescent="0.2">
      <c r="B218" s="7" t="s">
        <v>194</v>
      </c>
    </row>
    <row r="219" spans="2:2" x14ac:dyDescent="0.2">
      <c r="B219" s="7" t="s">
        <v>195</v>
      </c>
    </row>
    <row r="220" spans="2:2" x14ac:dyDescent="0.2">
      <c r="B220" s="7" t="s">
        <v>36</v>
      </c>
    </row>
    <row r="221" spans="2:2" x14ac:dyDescent="0.2">
      <c r="B221" s="7" t="s">
        <v>451</v>
      </c>
    </row>
    <row r="222" spans="2:2" x14ac:dyDescent="0.2">
      <c r="B222" s="7" t="s">
        <v>362</v>
      </c>
    </row>
    <row r="223" spans="2:2" x14ac:dyDescent="0.2">
      <c r="B223" s="7" t="s">
        <v>146</v>
      </c>
    </row>
    <row r="224" spans="2:2" x14ac:dyDescent="0.2">
      <c r="B224" s="7" t="s">
        <v>604</v>
      </c>
    </row>
    <row r="225" spans="2:2" x14ac:dyDescent="0.2">
      <c r="B225" s="7" t="s">
        <v>303</v>
      </c>
    </row>
    <row r="226" spans="2:2" x14ac:dyDescent="0.2">
      <c r="B226" s="7" t="s">
        <v>254</v>
      </c>
    </row>
    <row r="227" spans="2:2" x14ac:dyDescent="0.2">
      <c r="B227" s="7" t="s">
        <v>107</v>
      </c>
    </row>
    <row r="228" spans="2:2" x14ac:dyDescent="0.2">
      <c r="B228" s="7" t="s">
        <v>542</v>
      </c>
    </row>
    <row r="229" spans="2:2" x14ac:dyDescent="0.2">
      <c r="B229" s="7" t="s">
        <v>219</v>
      </c>
    </row>
    <row r="230" spans="2:2" x14ac:dyDescent="0.2">
      <c r="B230" s="7" t="s">
        <v>304</v>
      </c>
    </row>
    <row r="231" spans="2:2" x14ac:dyDescent="0.2">
      <c r="B231" s="7" t="s">
        <v>305</v>
      </c>
    </row>
    <row r="232" spans="2:2" x14ac:dyDescent="0.2">
      <c r="B232" s="7" t="s">
        <v>128</v>
      </c>
    </row>
    <row r="233" spans="2:2" x14ac:dyDescent="0.2">
      <c r="B233" s="7" t="s">
        <v>255</v>
      </c>
    </row>
    <row r="234" spans="2:2" x14ac:dyDescent="0.2">
      <c r="B234" s="7" t="s">
        <v>196</v>
      </c>
    </row>
    <row r="235" spans="2:2" x14ac:dyDescent="0.2">
      <c r="B235" s="7" t="s">
        <v>229</v>
      </c>
    </row>
    <row r="236" spans="2:2" x14ac:dyDescent="0.2">
      <c r="B236" s="7" t="s">
        <v>256</v>
      </c>
    </row>
    <row r="237" spans="2:2" x14ac:dyDescent="0.2">
      <c r="B237" s="7" t="s">
        <v>38</v>
      </c>
    </row>
    <row r="238" spans="2:2" x14ac:dyDescent="0.2">
      <c r="B238" s="7" t="s">
        <v>41</v>
      </c>
    </row>
    <row r="239" spans="2:2" x14ac:dyDescent="0.2">
      <c r="B239" s="7" t="s">
        <v>43</v>
      </c>
    </row>
    <row r="240" spans="2:2" x14ac:dyDescent="0.2">
      <c r="B240" s="7" t="s">
        <v>197</v>
      </c>
    </row>
    <row r="241" spans="2:2" x14ac:dyDescent="0.2">
      <c r="B241" s="7" t="s">
        <v>46</v>
      </c>
    </row>
    <row r="242" spans="2:2" x14ac:dyDescent="0.2">
      <c r="B242" s="7" t="s">
        <v>141</v>
      </c>
    </row>
    <row r="243" spans="2:2" x14ac:dyDescent="0.2">
      <c r="B243" s="7" t="s">
        <v>198</v>
      </c>
    </row>
    <row r="244" spans="2:2" x14ac:dyDescent="0.2">
      <c r="B244" s="7" t="s">
        <v>49</v>
      </c>
    </row>
    <row r="245" spans="2:2" x14ac:dyDescent="0.2">
      <c r="B245" s="7" t="s">
        <v>308</v>
      </c>
    </row>
    <row r="246" spans="2:2" x14ac:dyDescent="0.2">
      <c r="B246" s="7" t="s">
        <v>310</v>
      </c>
    </row>
    <row r="247" spans="2:2" x14ac:dyDescent="0.2">
      <c r="B247" s="7" t="s">
        <v>363</v>
      </c>
    </row>
    <row r="248" spans="2:2" x14ac:dyDescent="0.2">
      <c r="B248" s="7" t="s">
        <v>311</v>
      </c>
    </row>
    <row r="249" spans="2:2" x14ac:dyDescent="0.2">
      <c r="B249" s="7" t="s">
        <v>149</v>
      </c>
    </row>
    <row r="250" spans="2:2" x14ac:dyDescent="0.2">
      <c r="B250" s="7" t="s">
        <v>199</v>
      </c>
    </row>
    <row r="251" spans="2:2" x14ac:dyDescent="0.2">
      <c r="B251" s="7" t="s">
        <v>220</v>
      </c>
    </row>
    <row r="252" spans="2:2" x14ac:dyDescent="0.2">
      <c r="B252" s="7" t="s">
        <v>174</v>
      </c>
    </row>
    <row r="253" spans="2:2" x14ac:dyDescent="0.2">
      <c r="B253" s="7" t="s">
        <v>137</v>
      </c>
    </row>
    <row r="254" spans="2:2" x14ac:dyDescent="0.2">
      <c r="B254" s="7" t="s">
        <v>340</v>
      </c>
    </row>
    <row r="255" spans="2:2" x14ac:dyDescent="0.2">
      <c r="B255" s="7" t="s">
        <v>175</v>
      </c>
    </row>
    <row r="256" spans="2:2" x14ac:dyDescent="0.2">
      <c r="B256" s="7" t="s">
        <v>393</v>
      </c>
    </row>
    <row r="257" spans="2:2" x14ac:dyDescent="0.2">
      <c r="B257" s="7" t="s">
        <v>313</v>
      </c>
    </row>
    <row r="258" spans="2:2" x14ac:dyDescent="0.2">
      <c r="B258" s="7" t="s">
        <v>545</v>
      </c>
    </row>
    <row r="259" spans="2:2" x14ac:dyDescent="0.2">
      <c r="B259" s="7" t="s">
        <v>314</v>
      </c>
    </row>
    <row r="260" spans="2:2" x14ac:dyDescent="0.2">
      <c r="B260" s="7" t="s">
        <v>521</v>
      </c>
    </row>
    <row r="261" spans="2:2" x14ac:dyDescent="0.2">
      <c r="B261" s="7" t="s">
        <v>221</v>
      </c>
    </row>
    <row r="262" spans="2:2" x14ac:dyDescent="0.2">
      <c r="B262" s="7" t="s">
        <v>222</v>
      </c>
    </row>
    <row r="263" spans="2:2" x14ac:dyDescent="0.2">
      <c r="B263" s="7" t="s">
        <v>319</v>
      </c>
    </row>
    <row r="264" spans="2:2" x14ac:dyDescent="0.2">
      <c r="B264" s="7" t="s">
        <v>351</v>
      </c>
    </row>
    <row r="265" spans="2:2" x14ac:dyDescent="0.2">
      <c r="B265" s="7" t="s">
        <v>200</v>
      </c>
    </row>
    <row r="266" spans="2:2" x14ac:dyDescent="0.2">
      <c r="B266" s="7" t="s">
        <v>364</v>
      </c>
    </row>
    <row r="267" spans="2:2" x14ac:dyDescent="0.2">
      <c r="B267" s="7" t="s">
        <v>316</v>
      </c>
    </row>
    <row r="268" spans="2:2" x14ac:dyDescent="0.2">
      <c r="B268" s="7" t="s">
        <v>417</v>
      </c>
    </row>
    <row r="269" spans="2:2" x14ac:dyDescent="0.2">
      <c r="B269" s="7" t="s">
        <v>177</v>
      </c>
    </row>
    <row r="270" spans="2:2" x14ac:dyDescent="0.2">
      <c r="B270" s="7" t="s">
        <v>397</v>
      </c>
    </row>
    <row r="271" spans="2:2" x14ac:dyDescent="0.2">
      <c r="B271" s="7" t="s">
        <v>259</v>
      </c>
    </row>
    <row r="272" spans="2:2" x14ac:dyDescent="0.2">
      <c r="B272" s="7" t="s">
        <v>178</v>
      </c>
    </row>
    <row r="273" spans="2:2" x14ac:dyDescent="0.2">
      <c r="B273" s="7" t="s">
        <v>52</v>
      </c>
    </row>
    <row r="274" spans="2:2" x14ac:dyDescent="0.2">
      <c r="B274" s="7" t="s">
        <v>317</v>
      </c>
    </row>
    <row r="275" spans="2:2" x14ac:dyDescent="0.2">
      <c r="B275" s="7" t="s">
        <v>398</v>
      </c>
    </row>
    <row r="276" spans="2:2" x14ac:dyDescent="0.2">
      <c r="B276" s="7" t="s">
        <v>419</v>
      </c>
    </row>
    <row r="277" spans="2:2" x14ac:dyDescent="0.2">
      <c r="B277" s="7" t="s">
        <v>180</v>
      </c>
    </row>
    <row r="278" spans="2:2" x14ac:dyDescent="0.2">
      <c r="B278" s="7" t="s">
        <v>366</v>
      </c>
    </row>
    <row r="279" spans="2:2" x14ac:dyDescent="0.2">
      <c r="B279" s="7" t="s">
        <v>341</v>
      </c>
    </row>
    <row r="280" spans="2:2" x14ac:dyDescent="0.2">
      <c r="B280" s="7" t="s">
        <v>454</v>
      </c>
    </row>
    <row r="281" spans="2:2" x14ac:dyDescent="0.2">
      <c r="B281" s="7" t="s">
        <v>260</v>
      </c>
    </row>
    <row r="282" spans="2:2" x14ac:dyDescent="0.2">
      <c r="B282" s="7" t="s">
        <v>223</v>
      </c>
    </row>
    <row r="283" spans="2:2" x14ac:dyDescent="0.2">
      <c r="B283" s="7" t="s">
        <v>337</v>
      </c>
    </row>
    <row r="284" spans="2:2" x14ac:dyDescent="0.2">
      <c r="B284" s="7" t="s">
        <v>257</v>
      </c>
    </row>
    <row r="285" spans="2:2" x14ac:dyDescent="0.2">
      <c r="B285" s="7" t="s">
        <v>468</v>
      </c>
    </row>
    <row r="286" spans="2:2" x14ac:dyDescent="0.2">
      <c r="B286" s="7" t="s">
        <v>300</v>
      </c>
    </row>
    <row r="287" spans="2:2" x14ac:dyDescent="0.2">
      <c r="B287" s="7" t="s">
        <v>215</v>
      </c>
    </row>
    <row r="288" spans="2:2" x14ac:dyDescent="0.2">
      <c r="B288" s="7" t="s">
        <v>134</v>
      </c>
    </row>
    <row r="289" spans="2:2" x14ac:dyDescent="0.2">
      <c r="B289" s="7" t="s">
        <v>150</v>
      </c>
    </row>
    <row r="290" spans="2:2" x14ac:dyDescent="0.2">
      <c r="B290" s="7" t="s">
        <v>55</v>
      </c>
    </row>
    <row r="291" spans="2:2" x14ac:dyDescent="0.2">
      <c r="B291" s="7" t="s">
        <v>318</v>
      </c>
    </row>
    <row r="292" spans="2:2" x14ac:dyDescent="0.2">
      <c r="B292" s="7" t="s">
        <v>108</v>
      </c>
    </row>
    <row r="293" spans="2:2" x14ac:dyDescent="0.2">
      <c r="B293" s="7" t="s">
        <v>154</v>
      </c>
    </row>
    <row r="294" spans="2:2" x14ac:dyDescent="0.2">
      <c r="B294" s="7" t="s">
        <v>224</v>
      </c>
    </row>
    <row r="295" spans="2:2" x14ac:dyDescent="0.2">
      <c r="B295" s="7" t="s">
        <v>261</v>
      </c>
    </row>
    <row r="296" spans="2:2" x14ac:dyDescent="0.2">
      <c r="B296" s="7" t="s">
        <v>109</v>
      </c>
    </row>
    <row r="297" spans="2:2" x14ac:dyDescent="0.2">
      <c r="B297" s="7" t="s">
        <v>320</v>
      </c>
    </row>
    <row r="298" spans="2:2" x14ac:dyDescent="0.2">
      <c r="B298" s="7" t="s">
        <v>353</v>
      </c>
    </row>
    <row r="299" spans="2:2" x14ac:dyDescent="0.2">
      <c r="B299" s="7" t="s">
        <v>367</v>
      </c>
    </row>
    <row r="300" spans="2:2" x14ac:dyDescent="0.2">
      <c r="B300" s="7" t="s">
        <v>263</v>
      </c>
    </row>
    <row r="301" spans="2:2" x14ac:dyDescent="0.2">
      <c r="B301" s="7" t="s">
        <v>632</v>
      </c>
    </row>
    <row r="302" spans="2:2" x14ac:dyDescent="0.2">
      <c r="B302" s="7" t="s">
        <v>111</v>
      </c>
    </row>
    <row r="303" spans="2:2" x14ac:dyDescent="0.2">
      <c r="B303" s="7" t="s">
        <v>59</v>
      </c>
    </row>
    <row r="304" spans="2:2" x14ac:dyDescent="0.2">
      <c r="B304" s="7" t="s">
        <v>390</v>
      </c>
    </row>
    <row r="305" spans="2:2" x14ac:dyDescent="0.2">
      <c r="B305" s="7" t="s">
        <v>616</v>
      </c>
    </row>
    <row r="306" spans="2:2" x14ac:dyDescent="0.2">
      <c r="B306" s="7" t="s">
        <v>306</v>
      </c>
    </row>
    <row r="307" spans="2:2" x14ac:dyDescent="0.2">
      <c r="B307" s="7" t="s">
        <v>62</v>
      </c>
    </row>
    <row r="308" spans="2:2" x14ac:dyDescent="0.2">
      <c r="B308" s="7" t="s">
        <v>232</v>
      </c>
    </row>
    <row r="309" spans="2:2" x14ac:dyDescent="0.2">
      <c r="B309" s="7" t="s">
        <v>501</v>
      </c>
    </row>
    <row r="310" spans="2:2" x14ac:dyDescent="0.2">
      <c r="B310" s="7" t="s">
        <v>64</v>
      </c>
    </row>
    <row r="311" spans="2:2" x14ac:dyDescent="0.2">
      <c r="B311" s="7" t="s">
        <v>321</v>
      </c>
    </row>
    <row r="312" spans="2:2" x14ac:dyDescent="0.2">
      <c r="B312" s="7" t="s">
        <v>112</v>
      </c>
    </row>
    <row r="313" spans="2:2" x14ac:dyDescent="0.2">
      <c r="B313" s="7" t="s">
        <v>264</v>
      </c>
    </row>
    <row r="314" spans="2:2" x14ac:dyDescent="0.2">
      <c r="B314" s="7" t="s">
        <v>67</v>
      </c>
    </row>
    <row r="315" spans="2:2" x14ac:dyDescent="0.2">
      <c r="B315" s="7" t="s">
        <v>201</v>
      </c>
    </row>
    <row r="316" spans="2:2" x14ac:dyDescent="0.2">
      <c r="B316" s="7" t="s">
        <v>343</v>
      </c>
    </row>
    <row r="317" spans="2:2" x14ac:dyDescent="0.2">
      <c r="B317" s="7" t="s">
        <v>323</v>
      </c>
    </row>
    <row r="318" spans="2:2" x14ac:dyDescent="0.2">
      <c r="B318" s="7" t="s">
        <v>527</v>
      </c>
    </row>
    <row r="319" spans="2:2" x14ac:dyDescent="0.2">
      <c r="B319" s="7" t="s">
        <v>70</v>
      </c>
    </row>
    <row r="320" spans="2:2" x14ac:dyDescent="0.2">
      <c r="B320" s="7" t="s">
        <v>72</v>
      </c>
    </row>
    <row r="321" spans="2:2" x14ac:dyDescent="0.2">
      <c r="B321" s="7" t="s">
        <v>114</v>
      </c>
    </row>
    <row r="322" spans="2:2" x14ac:dyDescent="0.2">
      <c r="B322" s="7" t="s">
        <v>265</v>
      </c>
    </row>
    <row r="323" spans="2:2" x14ac:dyDescent="0.2">
      <c r="B323" s="7" t="s">
        <v>225</v>
      </c>
    </row>
    <row r="324" spans="2:2" x14ac:dyDescent="0.2">
      <c r="B324" s="7" t="s">
        <v>158</v>
      </c>
    </row>
    <row r="325" spans="2:2" x14ac:dyDescent="0.2">
      <c r="B325" s="7" t="s">
        <v>400</v>
      </c>
    </row>
    <row r="326" spans="2:2" x14ac:dyDescent="0.2">
      <c r="B326" s="7" t="s">
        <v>226</v>
      </c>
    </row>
    <row r="327" spans="2:2" x14ac:dyDescent="0.2">
      <c r="B327" s="7" t="s">
        <v>266</v>
      </c>
    </row>
    <row r="328" spans="2:2" x14ac:dyDescent="0.2">
      <c r="B328" s="7" t="s">
        <v>267</v>
      </c>
    </row>
    <row r="329" spans="2:2" x14ac:dyDescent="0.2">
      <c r="B329" s="7" t="s">
        <v>75</v>
      </c>
    </row>
    <row r="330" spans="2:2" x14ac:dyDescent="0.2">
      <c r="B330" s="7" t="s">
        <v>268</v>
      </c>
    </row>
    <row r="331" spans="2:2" x14ac:dyDescent="0.2">
      <c r="B331" s="7" t="s">
        <v>78</v>
      </c>
    </row>
    <row r="332" spans="2:2" x14ac:dyDescent="0.2">
      <c r="B332" s="7" t="s">
        <v>81</v>
      </c>
    </row>
    <row r="333" spans="2:2" x14ac:dyDescent="0.2">
      <c r="B333" s="7" t="s">
        <v>375</v>
      </c>
    </row>
    <row r="334" spans="2:2" x14ac:dyDescent="0.2">
      <c r="B334" s="7" t="s">
        <v>391</v>
      </c>
    </row>
    <row r="335" spans="2:2" x14ac:dyDescent="0.2">
      <c r="B335" s="7" t="s">
        <v>116</v>
      </c>
    </row>
    <row r="336" spans="2:2" x14ac:dyDescent="0.2">
      <c r="B336" s="7" t="s">
        <v>344</v>
      </c>
    </row>
    <row r="337" spans="2:2" x14ac:dyDescent="0.2">
      <c r="B337" s="7" t="s">
        <v>85</v>
      </c>
    </row>
    <row r="338" spans="2:2" x14ac:dyDescent="0.2">
      <c r="B338" s="7" t="s">
        <v>83</v>
      </c>
    </row>
    <row r="339" spans="2:2" x14ac:dyDescent="0.2">
      <c r="B339" s="7" t="s">
        <v>84</v>
      </c>
    </row>
    <row r="340" spans="2:2" x14ac:dyDescent="0.2">
      <c r="B340" s="7" t="s">
        <v>86</v>
      </c>
    </row>
    <row r="341" spans="2:2" x14ac:dyDescent="0.2">
      <c r="B341" s="7" t="s">
        <v>87</v>
      </c>
    </row>
    <row r="342" spans="2:2" x14ac:dyDescent="0.2">
      <c r="B342" s="7" t="s">
        <v>88</v>
      </c>
    </row>
    <row r="343" spans="2:2" x14ac:dyDescent="0.2">
      <c r="B343" s="7" t="s">
        <v>89</v>
      </c>
    </row>
    <row r="344" spans="2:2" x14ac:dyDescent="0.2">
      <c r="B344" s="7" t="s">
        <v>90</v>
      </c>
    </row>
    <row r="345" spans="2:2" x14ac:dyDescent="0.2">
      <c r="B345" s="7" t="s">
        <v>91</v>
      </c>
    </row>
    <row r="346" spans="2:2" x14ac:dyDescent="0.2">
      <c r="B346" s="7" t="s">
        <v>160</v>
      </c>
    </row>
    <row r="347" spans="2:2" x14ac:dyDescent="0.2">
      <c r="B347" s="7" t="s">
        <v>92</v>
      </c>
    </row>
    <row r="348" spans="2:2" x14ac:dyDescent="0.2">
      <c r="B348" s="7" t="s">
        <v>117</v>
      </c>
    </row>
    <row r="349" spans="2:2" x14ac:dyDescent="0.2">
      <c r="B349" s="7" t="s">
        <v>94</v>
      </c>
    </row>
    <row r="350" spans="2:2" x14ac:dyDescent="0.2">
      <c r="B350" s="7" t="s">
        <v>202</v>
      </c>
    </row>
    <row r="351" spans="2:2" x14ac:dyDescent="0.2">
      <c r="B351" s="7" t="s">
        <v>118</v>
      </c>
    </row>
    <row r="352" spans="2:2" x14ac:dyDescent="0.2">
      <c r="B352" s="7" t="s">
        <v>534</v>
      </c>
    </row>
    <row r="353" spans="2:2" x14ac:dyDescent="0.2">
      <c r="B353" s="7" t="s">
        <v>269</v>
      </c>
    </row>
    <row r="354" spans="2:2" x14ac:dyDescent="0.2">
      <c r="B354" s="7" t="s">
        <v>161</v>
      </c>
    </row>
    <row r="355" spans="2:2" x14ac:dyDescent="0.2">
      <c r="B355" s="7" t="s">
        <v>326</v>
      </c>
    </row>
    <row r="356" spans="2:2" x14ac:dyDescent="0.2">
      <c r="B356" s="7" t="s">
        <v>227</v>
      </c>
    </row>
    <row r="357" spans="2:2" x14ac:dyDescent="0.2">
      <c r="B357" s="7" t="s">
        <v>270</v>
      </c>
    </row>
    <row r="358" spans="2:2" x14ac:dyDescent="0.2">
      <c r="B358" s="7" t="s">
        <v>271</v>
      </c>
    </row>
    <row r="359" spans="2:2" x14ac:dyDescent="0.2">
      <c r="B359" s="7" t="s">
        <v>355</v>
      </c>
    </row>
    <row r="360" spans="2:2" x14ac:dyDescent="0.2">
      <c r="B360" s="7" t="s">
        <v>327</v>
      </c>
    </row>
    <row r="361" spans="2:2" x14ac:dyDescent="0.2">
      <c r="B361" s="7" t="s">
        <v>95</v>
      </c>
    </row>
    <row r="362" spans="2:2" x14ac:dyDescent="0.2">
      <c r="B362" s="7" t="s">
        <v>382</v>
      </c>
    </row>
    <row r="363" spans="2:2" x14ac:dyDescent="0.2">
      <c r="B363" s="7" t="s">
        <v>162</v>
      </c>
    </row>
    <row r="364" spans="2:2" x14ac:dyDescent="0.2">
      <c r="B364" s="7" t="s">
        <v>272</v>
      </c>
    </row>
    <row r="365" spans="2:2" x14ac:dyDescent="0.2">
      <c r="B365" s="7" t="s">
        <v>245</v>
      </c>
    </row>
    <row r="366" spans="2:2" x14ac:dyDescent="0.2">
      <c r="B366" s="7" t="s">
        <v>203</v>
      </c>
    </row>
    <row r="367" spans="2:2" x14ac:dyDescent="0.2">
      <c r="B367" s="7" t="s">
        <v>384</v>
      </c>
    </row>
    <row r="368" spans="2:2" x14ac:dyDescent="0.2">
      <c r="B368" s="7" t="s">
        <v>376</v>
      </c>
    </row>
    <row r="369" spans="2:2" x14ac:dyDescent="0.2">
      <c r="B369" s="7" t="s">
        <v>368</v>
      </c>
    </row>
    <row r="370" spans="2:2" x14ac:dyDescent="0.2">
      <c r="B370" s="7" t="s">
        <v>537</v>
      </c>
    </row>
    <row r="371" spans="2:2" x14ac:dyDescent="0.2">
      <c r="B371" s="7" t="s">
        <v>273</v>
      </c>
    </row>
    <row r="372" spans="2:2" x14ac:dyDescent="0.2">
      <c r="B372" s="7" t="s">
        <v>539</v>
      </c>
    </row>
    <row r="373" spans="2:2" x14ac:dyDescent="0.2">
      <c r="B373" s="7" t="s">
        <v>97</v>
      </c>
    </row>
    <row r="374" spans="2:2" x14ac:dyDescent="0.2">
      <c r="B374" s="7" t="s">
        <v>328</v>
      </c>
    </row>
    <row r="375" spans="2:2" x14ac:dyDescent="0.2">
      <c r="B375" s="7" t="s">
        <v>163</v>
      </c>
    </row>
    <row r="376" spans="2:2" x14ac:dyDescent="0.2">
      <c r="B376" s="7" t="s">
        <v>330</v>
      </c>
    </row>
    <row r="377" spans="2:2" x14ac:dyDescent="0.2">
      <c r="B377" s="7" t="s">
        <v>208</v>
      </c>
    </row>
    <row r="378" spans="2:2" x14ac:dyDescent="0.2">
      <c r="B378" s="7" t="s">
        <v>228</v>
      </c>
    </row>
    <row r="379" spans="2:2" x14ac:dyDescent="0.2">
      <c r="B379" s="7" t="s">
        <v>331</v>
      </c>
    </row>
    <row r="380" spans="2:2" x14ac:dyDescent="0.2">
      <c r="B380" s="7" t="s">
        <v>277</v>
      </c>
    </row>
    <row r="381" spans="2:2" x14ac:dyDescent="0.2">
      <c r="B381" s="7" t="s">
        <v>98</v>
      </c>
    </row>
    <row r="382" spans="2:2" x14ac:dyDescent="0.2">
      <c r="B382" s="7" t="s">
        <v>99</v>
      </c>
    </row>
    <row r="383" spans="2:2" x14ac:dyDescent="0.2">
      <c r="B383" s="7" t="s">
        <v>595</v>
      </c>
    </row>
    <row r="384" spans="2:2" x14ac:dyDescent="0.2">
      <c r="B384" s="7" t="s">
        <v>230</v>
      </c>
    </row>
    <row r="385" spans="2:2" x14ac:dyDescent="0.2">
      <c r="B385" s="7" t="s">
        <v>508</v>
      </c>
    </row>
    <row r="386" spans="2:2" x14ac:dyDescent="0.2">
      <c r="B386" s="7" t="s">
        <v>370</v>
      </c>
    </row>
    <row r="387" spans="2:2" x14ac:dyDescent="0.2">
      <c r="B387" s="7" t="s">
        <v>119</v>
      </c>
    </row>
    <row r="388" spans="2:2" x14ac:dyDescent="0.2">
      <c r="B388" s="7" t="s">
        <v>275</v>
      </c>
    </row>
    <row r="389" spans="2:2" x14ac:dyDescent="0.2">
      <c r="B389" s="7" t="s">
        <v>101</v>
      </c>
    </row>
    <row r="390" spans="2:2" x14ac:dyDescent="0.2">
      <c r="B390" s="7" t="s">
        <v>530</v>
      </c>
    </row>
    <row r="391" spans="2:2" x14ac:dyDescent="0.2">
      <c r="B391" s="7" t="s">
        <v>120</v>
      </c>
    </row>
    <row r="392" spans="2:2" x14ac:dyDescent="0.2">
      <c r="B392" s="7" t="s">
        <v>231</v>
      </c>
    </row>
    <row r="393" spans="2:2" x14ac:dyDescent="0.2">
      <c r="B393" s="7" t="s">
        <v>181</v>
      </c>
    </row>
    <row r="394" spans="2:2" x14ac:dyDescent="0.2">
      <c r="B394" s="7" t="s">
        <v>204</v>
      </c>
    </row>
    <row r="395" spans="2:2" x14ac:dyDescent="0.2">
      <c r="B395" s="7" t="s">
        <v>145</v>
      </c>
    </row>
    <row r="396" spans="2:2" x14ac:dyDescent="0.2">
      <c r="B396" s="7" t="s">
        <v>276</v>
      </c>
    </row>
    <row r="397" spans="2:2" x14ac:dyDescent="0.2">
      <c r="B397" s="7" t="s">
        <v>102</v>
      </c>
    </row>
    <row r="398" spans="2:2" x14ac:dyDescent="0.2">
      <c r="B398" s="7" t="s">
        <v>405</v>
      </c>
    </row>
    <row r="399" spans="2:2" x14ac:dyDescent="0.2">
      <c r="B399" s="7" t="s">
        <v>346</v>
      </c>
    </row>
    <row r="400" spans="2:2" x14ac:dyDescent="0.2">
      <c r="B400" s="7" t="s">
        <v>182</v>
      </c>
    </row>
    <row r="401" spans="1:2" x14ac:dyDescent="0.2">
      <c r="B401" s="7" t="s">
        <v>131</v>
      </c>
    </row>
    <row r="402" spans="1:2" x14ac:dyDescent="0.2">
      <c r="B402" s="7" t="s">
        <v>613</v>
      </c>
    </row>
    <row r="403" spans="1:2" x14ac:dyDescent="0.2">
      <c r="B403" s="7" t="s">
        <v>122</v>
      </c>
    </row>
    <row r="404" spans="1:2" x14ac:dyDescent="0.2">
      <c r="A404" s="7" t="s">
        <v>280</v>
      </c>
      <c r="B404" s="7" t="s">
        <v>614</v>
      </c>
    </row>
    <row r="405" spans="1:2" x14ac:dyDescent="0.2">
      <c r="B405" s="7" t="s">
        <v>205</v>
      </c>
    </row>
    <row r="406" spans="1:2" x14ac:dyDescent="0.2">
      <c r="B406" s="7" t="s">
        <v>233</v>
      </c>
    </row>
    <row r="407" spans="1:2" x14ac:dyDescent="0.2">
      <c r="B407" s="7" t="s">
        <v>207</v>
      </c>
    </row>
    <row r="408" spans="1:2" x14ac:dyDescent="0.2">
      <c r="B408" s="7" t="s">
        <v>278</v>
      </c>
    </row>
    <row r="409" spans="1:2" x14ac:dyDescent="0.2">
      <c r="B409" s="7" t="s">
        <v>683</v>
      </c>
    </row>
    <row r="410" spans="1:2" x14ac:dyDescent="0.2">
      <c r="B410" s="7" t="s">
        <v>8</v>
      </c>
    </row>
    <row r="411" spans="1:2" x14ac:dyDescent="0.2">
      <c r="B411" s="7" t="s">
        <v>236</v>
      </c>
    </row>
    <row r="412" spans="1:2" x14ac:dyDescent="0.2">
      <c r="B412" s="7" t="s">
        <v>183</v>
      </c>
    </row>
    <row r="413" spans="1:2" x14ac:dyDescent="0.2">
      <c r="B413" s="7" t="s">
        <v>124</v>
      </c>
    </row>
    <row r="414" spans="1:2" x14ac:dyDescent="0.2">
      <c r="B414" s="7" t="s">
        <v>408</v>
      </c>
    </row>
    <row r="415" spans="1:2" x14ac:dyDescent="0.2">
      <c r="B415" s="7" t="s">
        <v>281</v>
      </c>
    </row>
    <row r="416" spans="1:2" x14ac:dyDescent="0.2">
      <c r="B416" s="7" t="s">
        <v>103</v>
      </c>
    </row>
    <row r="417" spans="2:2" x14ac:dyDescent="0.2">
      <c r="B417" s="7" t="s">
        <v>10</v>
      </c>
    </row>
    <row r="418" spans="2:2" x14ac:dyDescent="0.2">
      <c r="B418" s="7" t="s">
        <v>237</v>
      </c>
    </row>
    <row r="419" spans="2:2" x14ac:dyDescent="0.2">
      <c r="B419" s="7" t="s">
        <v>185</v>
      </c>
    </row>
    <row r="420" spans="2:2" x14ac:dyDescent="0.2">
      <c r="B420" s="7" t="s">
        <v>283</v>
      </c>
    </row>
    <row r="421" spans="2:2" x14ac:dyDescent="0.2">
      <c r="B421" s="7" t="s">
        <v>359</v>
      </c>
    </row>
    <row r="422" spans="2:2" x14ac:dyDescent="0.2">
      <c r="B422" s="7" t="s">
        <v>186</v>
      </c>
    </row>
    <row r="423" spans="2:2" x14ac:dyDescent="0.2">
      <c r="B423" s="7" t="s">
        <v>187</v>
      </c>
    </row>
    <row r="424" spans="2:2" x14ac:dyDescent="0.2">
      <c r="B424" s="7" t="s">
        <v>258</v>
      </c>
    </row>
    <row r="425" spans="2:2" x14ac:dyDescent="0.2">
      <c r="B425" s="7" t="s">
        <v>646</v>
      </c>
    </row>
    <row r="426" spans="2:2" x14ac:dyDescent="0.2">
      <c r="B426" s="7" t="s">
        <v>127</v>
      </c>
    </row>
    <row r="427" spans="2:2" x14ac:dyDescent="0.2">
      <c r="B427" s="7" t="s">
        <v>209</v>
      </c>
    </row>
    <row r="428" spans="2:2" x14ac:dyDescent="0.2">
      <c r="B428" s="7" t="s">
        <v>671</v>
      </c>
    </row>
    <row r="429" spans="2:2" x14ac:dyDescent="0.2">
      <c r="B429" s="7" t="s">
        <v>11</v>
      </c>
    </row>
    <row r="430" spans="2:2" x14ac:dyDescent="0.2">
      <c r="B430" s="7" t="s">
        <v>284</v>
      </c>
    </row>
    <row r="431" spans="2:2" x14ac:dyDescent="0.2">
      <c r="B431" s="7" t="s">
        <v>188</v>
      </c>
    </row>
    <row r="432" spans="2:2" x14ac:dyDescent="0.2">
      <c r="B432" s="7" t="s">
        <v>4</v>
      </c>
    </row>
    <row r="433" spans="2:2" x14ac:dyDescent="0.2">
      <c r="B433" s="7" t="s">
        <v>285</v>
      </c>
    </row>
    <row r="434" spans="2:2" x14ac:dyDescent="0.2">
      <c r="B434" s="7" t="s">
        <v>286</v>
      </c>
    </row>
    <row r="435" spans="2:2" x14ac:dyDescent="0.2">
      <c r="B435" s="7" t="s">
        <v>410</v>
      </c>
    </row>
    <row r="436" spans="2:2" x14ac:dyDescent="0.2">
      <c r="B436" s="7" t="s">
        <v>164</v>
      </c>
    </row>
    <row r="437" spans="2:2" x14ac:dyDescent="0.2">
      <c r="B437" s="7" t="s">
        <v>189</v>
      </c>
    </row>
    <row r="438" spans="2:2" x14ac:dyDescent="0.2">
      <c r="B438" s="7" t="s">
        <v>210</v>
      </c>
    </row>
    <row r="439" spans="2:2" x14ac:dyDescent="0.2">
      <c r="B439" s="7" t="s">
        <v>129</v>
      </c>
    </row>
    <row r="440" spans="2:2" x14ac:dyDescent="0.2">
      <c r="B440" s="7" t="s">
        <v>287</v>
      </c>
    </row>
    <row r="441" spans="2:2" x14ac:dyDescent="0.2">
      <c r="B441" s="7" t="s">
        <v>12</v>
      </c>
    </row>
    <row r="442" spans="2:2" x14ac:dyDescent="0.2">
      <c r="B442" s="7" t="s">
        <v>484</v>
      </c>
    </row>
    <row r="443" spans="2:2" x14ac:dyDescent="0.2">
      <c r="B443" s="7" t="s">
        <v>190</v>
      </c>
    </row>
    <row r="444" spans="2:2" x14ac:dyDescent="0.2">
      <c r="B444" s="7" t="s">
        <v>658</v>
      </c>
    </row>
    <row r="445" spans="2:2" x14ac:dyDescent="0.2">
      <c r="B445" s="7" t="s">
        <v>288</v>
      </c>
    </row>
    <row r="446" spans="2:2" x14ac:dyDescent="0.2">
      <c r="B446" s="7" t="s">
        <v>13</v>
      </c>
    </row>
    <row r="447" spans="2:2" x14ac:dyDescent="0.2">
      <c r="B447" s="7" t="s">
        <v>289</v>
      </c>
    </row>
    <row r="448" spans="2:2" x14ac:dyDescent="0.2">
      <c r="B448" s="7" t="s">
        <v>14</v>
      </c>
    </row>
    <row r="449" spans="2:2" x14ac:dyDescent="0.2">
      <c r="B449" s="7" t="s">
        <v>374</v>
      </c>
    </row>
    <row r="450" spans="2:2" x14ac:dyDescent="0.2">
      <c r="B450" s="7" t="s">
        <v>106</v>
      </c>
    </row>
    <row r="451" spans="2:2" x14ac:dyDescent="0.2">
      <c r="B451" s="7" t="s">
        <v>349</v>
      </c>
    </row>
    <row r="452" spans="2:2" x14ac:dyDescent="0.2">
      <c r="B452" s="7" t="s">
        <v>486</v>
      </c>
    </row>
    <row r="453" spans="2:2" x14ac:dyDescent="0.2">
      <c r="B453" s="7" t="s">
        <v>291</v>
      </c>
    </row>
    <row r="454" spans="2:2" x14ac:dyDescent="0.2">
      <c r="B454" s="7" t="s">
        <v>211</v>
      </c>
    </row>
    <row r="455" spans="2:2" x14ac:dyDescent="0.2">
      <c r="B455" s="7" t="s">
        <v>532</v>
      </c>
    </row>
    <row r="456" spans="2:2" x14ac:dyDescent="0.2">
      <c r="B456" s="7" t="s">
        <v>388</v>
      </c>
    </row>
    <row r="457" spans="2:2" x14ac:dyDescent="0.2">
      <c r="B457" s="7" t="s">
        <v>431</v>
      </c>
    </row>
    <row r="458" spans="2:2" x14ac:dyDescent="0.2">
      <c r="B458" s="7" t="s">
        <v>238</v>
      </c>
    </row>
    <row r="459" spans="2:2" x14ac:dyDescent="0.2">
      <c r="B459" s="7" t="s">
        <v>292</v>
      </c>
    </row>
    <row r="460" spans="2:2" x14ac:dyDescent="0.2">
      <c r="B460" s="7" t="s">
        <v>293</v>
      </c>
    </row>
    <row r="461" spans="2:2" x14ac:dyDescent="0.2">
      <c r="B461" s="7" t="s">
        <v>212</v>
      </c>
    </row>
    <row r="462" spans="2:2" x14ac:dyDescent="0.2">
      <c r="B462" s="7" t="s">
        <v>294</v>
      </c>
    </row>
    <row r="463" spans="2:2" x14ac:dyDescent="0.2">
      <c r="B463" s="7" t="s">
        <v>295</v>
      </c>
    </row>
    <row r="464" spans="2:2" x14ac:dyDescent="0.2">
      <c r="B464" s="7" t="s">
        <v>239</v>
      </c>
    </row>
    <row r="465" spans="2:2" x14ac:dyDescent="0.2">
      <c r="B465" s="7" t="s">
        <v>536</v>
      </c>
    </row>
    <row r="466" spans="2:2" x14ac:dyDescent="0.2">
      <c r="B466" s="7" t="s">
        <v>296</v>
      </c>
    </row>
    <row r="467" spans="2:2" x14ac:dyDescent="0.2">
      <c r="B467" s="7" t="s">
        <v>16</v>
      </c>
    </row>
    <row r="468" spans="2:2" x14ac:dyDescent="0.2">
      <c r="B468" s="7" t="s">
        <v>464</v>
      </c>
    </row>
    <row r="469" spans="2:2" x14ac:dyDescent="0.2">
      <c r="B469" s="7" t="s">
        <v>395</v>
      </c>
    </row>
    <row r="470" spans="2:2" x14ac:dyDescent="0.2">
      <c r="B470" s="7" t="s">
        <v>133</v>
      </c>
    </row>
    <row r="471" spans="2:2" x14ac:dyDescent="0.2">
      <c r="B471" s="7" t="s">
        <v>378</v>
      </c>
    </row>
    <row r="472" spans="2:2" x14ac:dyDescent="0.2">
      <c r="B472" s="7" t="s">
        <v>18</v>
      </c>
    </row>
    <row r="473" spans="2:2" x14ac:dyDescent="0.2">
      <c r="B473" s="7" t="s">
        <v>20</v>
      </c>
    </row>
    <row r="474" spans="2:2" x14ac:dyDescent="0.2">
      <c r="B474" s="7" t="s">
        <v>169</v>
      </c>
    </row>
    <row r="475" spans="2:2" x14ac:dyDescent="0.2">
      <c r="B475" s="7" t="s">
        <v>138</v>
      </c>
    </row>
    <row r="476" spans="2:2" x14ac:dyDescent="0.2">
      <c r="B476" s="7" t="s">
        <v>621</v>
      </c>
    </row>
    <row r="477" spans="2:2" x14ac:dyDescent="0.2">
      <c r="B477" s="7" t="s">
        <v>338</v>
      </c>
    </row>
    <row r="478" spans="2:2" x14ac:dyDescent="0.2">
      <c r="B478" s="7" t="s">
        <v>241</v>
      </c>
    </row>
    <row r="479" spans="2:2" x14ac:dyDescent="0.2">
      <c r="B479" s="7" t="s">
        <v>676</v>
      </c>
    </row>
    <row r="480" spans="2:2" x14ac:dyDescent="0.2">
      <c r="B480" s="7" t="s">
        <v>214</v>
      </c>
    </row>
    <row r="481" spans="2:2" x14ac:dyDescent="0.2">
      <c r="B481" s="7" t="s">
        <v>513</v>
      </c>
    </row>
    <row r="482" spans="2:2" x14ac:dyDescent="0.2">
      <c r="B482" s="7" t="s">
        <v>22</v>
      </c>
    </row>
    <row r="483" spans="2:2" x14ac:dyDescent="0.2">
      <c r="B483" s="7" t="s">
        <v>297</v>
      </c>
    </row>
    <row r="484" spans="2:2" x14ac:dyDescent="0.2">
      <c r="B484" s="7" t="s">
        <v>170</v>
      </c>
    </row>
    <row r="485" spans="2:2" x14ac:dyDescent="0.2">
      <c r="B485" s="7" t="s">
        <v>25</v>
      </c>
    </row>
    <row r="486" spans="2:2" x14ac:dyDescent="0.2">
      <c r="B486" s="7" t="s">
        <v>242</v>
      </c>
    </row>
    <row r="487" spans="2:2" x14ac:dyDescent="0.2">
      <c r="B487" s="7" t="s">
        <v>533</v>
      </c>
    </row>
    <row r="488" spans="2:2" x14ac:dyDescent="0.2">
      <c r="B488" s="7" t="s">
        <v>389</v>
      </c>
    </row>
    <row r="489" spans="2:2" x14ac:dyDescent="0.2">
      <c r="B489" s="7" t="s">
        <v>135</v>
      </c>
    </row>
    <row r="490" spans="2:2" x14ac:dyDescent="0.2">
      <c r="B490" s="7" t="s">
        <v>218</v>
      </c>
    </row>
    <row r="491" spans="2:2" x14ac:dyDescent="0.2">
      <c r="B491" s="7" t="s">
        <v>298</v>
      </c>
    </row>
    <row r="492" spans="2:2" x14ac:dyDescent="0.2">
      <c r="B492" s="7" t="s">
        <v>243</v>
      </c>
    </row>
    <row r="493" spans="2:2" x14ac:dyDescent="0.2">
      <c r="B493" s="7" t="s">
        <v>216</v>
      </c>
    </row>
    <row r="494" spans="2:2" x14ac:dyDescent="0.2">
      <c r="B494" s="7" t="s">
        <v>240</v>
      </c>
    </row>
    <row r="495" spans="2:2" x14ac:dyDescent="0.2">
      <c r="B495" s="7" t="s">
        <v>172</v>
      </c>
    </row>
    <row r="496" spans="2:2" x14ac:dyDescent="0.2">
      <c r="B496" s="7" t="s">
        <v>244</v>
      </c>
    </row>
    <row r="497" spans="2:2" x14ac:dyDescent="0.2">
      <c r="B497" s="7" t="s">
        <v>466</v>
      </c>
    </row>
    <row r="498" spans="2:2" x14ac:dyDescent="0.2">
      <c r="B498" s="7" t="s">
        <v>139</v>
      </c>
    </row>
    <row r="499" spans="2:2" x14ac:dyDescent="0.2">
      <c r="B499" s="7" t="s">
        <v>27</v>
      </c>
    </row>
    <row r="500" spans="2:2" x14ac:dyDescent="0.2">
      <c r="B500" s="7" t="s">
        <v>663</v>
      </c>
    </row>
    <row r="501" spans="2:2" x14ac:dyDescent="0.2">
      <c r="B501" s="7" t="s">
        <v>246</v>
      </c>
    </row>
    <row r="502" spans="2:2" x14ac:dyDescent="0.2">
      <c r="B502" s="7" t="s">
        <v>634</v>
      </c>
    </row>
    <row r="503" spans="2:2" x14ac:dyDescent="0.2">
      <c r="B503" s="7" t="s">
        <v>541</v>
      </c>
    </row>
    <row r="504" spans="2:2" x14ac:dyDescent="0.2">
      <c r="B504" s="7" t="s">
        <v>247</v>
      </c>
    </row>
    <row r="505" spans="2:2" x14ac:dyDescent="0.2">
      <c r="B505" s="7" t="s">
        <v>299</v>
      </c>
    </row>
    <row r="506" spans="2:2" x14ac:dyDescent="0.2">
      <c r="B506" s="7" t="s">
        <v>516</v>
      </c>
    </row>
    <row r="507" spans="2:2" x14ac:dyDescent="0.2">
      <c r="B507" s="7" t="s">
        <v>249</v>
      </c>
    </row>
    <row r="508" spans="2:2" x14ac:dyDescent="0.2">
      <c r="B508" s="7" t="s">
        <v>142</v>
      </c>
    </row>
    <row r="509" spans="2:2" x14ac:dyDescent="0.2">
      <c r="B509" s="7" t="s">
        <v>643</v>
      </c>
    </row>
    <row r="510" spans="2:2" x14ac:dyDescent="0.2">
      <c r="B510" s="7" t="s">
        <v>113</v>
      </c>
    </row>
    <row r="511" spans="2:2" x14ac:dyDescent="0.2">
      <c r="B511" s="7" t="s">
        <v>217</v>
      </c>
    </row>
    <row r="512" spans="2:2" x14ac:dyDescent="0.2">
      <c r="B512" s="7" t="s">
        <v>191</v>
      </c>
    </row>
    <row r="513" spans="2:2" x14ac:dyDescent="0.2">
      <c r="B513" s="7" t="s">
        <v>7</v>
      </c>
    </row>
    <row r="514" spans="2:2" x14ac:dyDescent="0.2">
      <c r="B514" s="7" t="s">
        <v>193</v>
      </c>
    </row>
    <row r="515" spans="2:2" x14ac:dyDescent="0.2">
      <c r="B515" s="7" t="s">
        <v>31</v>
      </c>
    </row>
    <row r="516" spans="2:2" x14ac:dyDescent="0.2">
      <c r="B516" s="7" t="s">
        <v>492</v>
      </c>
    </row>
    <row r="517" spans="2:2" x14ac:dyDescent="0.2">
      <c r="B517" s="7" t="s">
        <v>564</v>
      </c>
    </row>
    <row r="518" spans="2:2" x14ac:dyDescent="0.2">
      <c r="B518" s="7" t="s">
        <v>449</v>
      </c>
    </row>
    <row r="519" spans="2:2" x14ac:dyDescent="0.2">
      <c r="B519" s="7" t="s">
        <v>301</v>
      </c>
    </row>
    <row r="520" spans="2:2" x14ac:dyDescent="0.2">
      <c r="B520" s="7" t="s">
        <v>302</v>
      </c>
    </row>
    <row r="521" spans="2:2" x14ac:dyDescent="0.2">
      <c r="B521" s="7" t="s">
        <v>350</v>
      </c>
    </row>
    <row r="522" spans="2:2" x14ac:dyDescent="0.2">
      <c r="B522" s="7" t="s">
        <v>33</v>
      </c>
    </row>
    <row r="523" spans="2:2" x14ac:dyDescent="0.2">
      <c r="B523" s="7" t="s">
        <v>250</v>
      </c>
    </row>
    <row r="524" spans="2:2" x14ac:dyDescent="0.2">
      <c r="B524" s="7" t="s">
        <v>251</v>
      </c>
    </row>
    <row r="525" spans="2:2" x14ac:dyDescent="0.2">
      <c r="B525" s="7" t="s">
        <v>253</v>
      </c>
    </row>
    <row r="526" spans="2:2" x14ac:dyDescent="0.2">
      <c r="B526" s="7" t="s">
        <v>655</v>
      </c>
    </row>
    <row r="527" spans="2:2" x14ac:dyDescent="0.2">
      <c r="B527" s="7" t="s">
        <v>667</v>
      </c>
    </row>
    <row r="528" spans="2:2" x14ac:dyDescent="0.2">
      <c r="B528" s="7" t="s">
        <v>194</v>
      </c>
    </row>
    <row r="529" spans="2:2" x14ac:dyDescent="0.2">
      <c r="B529" s="7" t="s">
        <v>195</v>
      </c>
    </row>
    <row r="530" spans="2:2" x14ac:dyDescent="0.2">
      <c r="B530" s="7" t="s">
        <v>36</v>
      </c>
    </row>
    <row r="531" spans="2:2" x14ac:dyDescent="0.2">
      <c r="B531" s="7" t="s">
        <v>379</v>
      </c>
    </row>
    <row r="532" spans="2:2" x14ac:dyDescent="0.2">
      <c r="B532" s="7" t="s">
        <v>451</v>
      </c>
    </row>
    <row r="533" spans="2:2" x14ac:dyDescent="0.2">
      <c r="B533" s="7" t="s">
        <v>362</v>
      </c>
    </row>
    <row r="534" spans="2:2" x14ac:dyDescent="0.2">
      <c r="B534" s="7" t="s">
        <v>146</v>
      </c>
    </row>
    <row r="535" spans="2:2" x14ac:dyDescent="0.2">
      <c r="B535" s="7" t="s">
        <v>604</v>
      </c>
    </row>
    <row r="536" spans="2:2" x14ac:dyDescent="0.2">
      <c r="B536" s="7" t="s">
        <v>303</v>
      </c>
    </row>
    <row r="537" spans="2:2" x14ac:dyDescent="0.2">
      <c r="B537" s="7" t="s">
        <v>254</v>
      </c>
    </row>
    <row r="538" spans="2:2" x14ac:dyDescent="0.2">
      <c r="B538" s="7" t="s">
        <v>107</v>
      </c>
    </row>
    <row r="539" spans="2:2" x14ac:dyDescent="0.2">
      <c r="B539" s="7" t="s">
        <v>542</v>
      </c>
    </row>
    <row r="540" spans="2:2" x14ac:dyDescent="0.2">
      <c r="B540" s="7" t="s">
        <v>219</v>
      </c>
    </row>
    <row r="541" spans="2:2" x14ac:dyDescent="0.2">
      <c r="B541" s="7" t="s">
        <v>380</v>
      </c>
    </row>
    <row r="542" spans="2:2" x14ac:dyDescent="0.2">
      <c r="B542" s="7" t="s">
        <v>304</v>
      </c>
    </row>
    <row r="543" spans="2:2" x14ac:dyDescent="0.2">
      <c r="B543" s="7" t="s">
        <v>305</v>
      </c>
    </row>
    <row r="544" spans="2:2" x14ac:dyDescent="0.2">
      <c r="B544" s="7" t="s">
        <v>128</v>
      </c>
    </row>
    <row r="545" spans="2:2" x14ac:dyDescent="0.2">
      <c r="B545" s="7" t="s">
        <v>255</v>
      </c>
    </row>
    <row r="546" spans="2:2" x14ac:dyDescent="0.2">
      <c r="B546" s="7" t="s">
        <v>196</v>
      </c>
    </row>
    <row r="547" spans="2:2" x14ac:dyDescent="0.2">
      <c r="B547" s="7" t="s">
        <v>229</v>
      </c>
    </row>
    <row r="548" spans="2:2" x14ac:dyDescent="0.2">
      <c r="B548" s="7" t="s">
        <v>256</v>
      </c>
    </row>
    <row r="549" spans="2:2" x14ac:dyDescent="0.2">
      <c r="B549" s="7" t="s">
        <v>38</v>
      </c>
    </row>
    <row r="550" spans="2:2" x14ac:dyDescent="0.2">
      <c r="B550" s="7" t="s">
        <v>41</v>
      </c>
    </row>
    <row r="551" spans="2:2" x14ac:dyDescent="0.2">
      <c r="B551" s="7" t="s">
        <v>43</v>
      </c>
    </row>
    <row r="552" spans="2:2" x14ac:dyDescent="0.2">
      <c r="B552" s="7" t="s">
        <v>197</v>
      </c>
    </row>
    <row r="553" spans="2:2" x14ac:dyDescent="0.2">
      <c r="B553" s="7" t="s">
        <v>46</v>
      </c>
    </row>
    <row r="554" spans="2:2" x14ac:dyDescent="0.2">
      <c r="B554" s="7" t="s">
        <v>141</v>
      </c>
    </row>
    <row r="555" spans="2:2" x14ac:dyDescent="0.2">
      <c r="B555" s="7" t="s">
        <v>198</v>
      </c>
    </row>
    <row r="556" spans="2:2" x14ac:dyDescent="0.2">
      <c r="B556" s="7" t="s">
        <v>49</v>
      </c>
    </row>
    <row r="557" spans="2:2" x14ac:dyDescent="0.2">
      <c r="B557" s="7" t="s">
        <v>381</v>
      </c>
    </row>
    <row r="558" spans="2:2" x14ac:dyDescent="0.2">
      <c r="B558" s="7" t="s">
        <v>308</v>
      </c>
    </row>
    <row r="559" spans="2:2" x14ac:dyDescent="0.2">
      <c r="B559" s="7" t="s">
        <v>310</v>
      </c>
    </row>
    <row r="560" spans="2:2" x14ac:dyDescent="0.2">
      <c r="B560" s="7" t="s">
        <v>363</v>
      </c>
    </row>
    <row r="561" spans="2:2" x14ac:dyDescent="0.2">
      <c r="B561" s="7" t="s">
        <v>311</v>
      </c>
    </row>
    <row r="562" spans="2:2" x14ac:dyDescent="0.2">
      <c r="B562" s="7" t="s">
        <v>149</v>
      </c>
    </row>
    <row r="563" spans="2:2" x14ac:dyDescent="0.2">
      <c r="B563" s="7" t="s">
        <v>199</v>
      </c>
    </row>
    <row r="564" spans="2:2" x14ac:dyDescent="0.2">
      <c r="B564" s="7" t="s">
        <v>220</v>
      </c>
    </row>
    <row r="565" spans="2:2" x14ac:dyDescent="0.2">
      <c r="B565" s="7" t="s">
        <v>174</v>
      </c>
    </row>
    <row r="566" spans="2:2" x14ac:dyDescent="0.2">
      <c r="B566" s="7" t="s">
        <v>137</v>
      </c>
    </row>
    <row r="567" spans="2:2" x14ac:dyDescent="0.2">
      <c r="B567" s="7" t="s">
        <v>340</v>
      </c>
    </row>
    <row r="568" spans="2:2" x14ac:dyDescent="0.2">
      <c r="B568" s="7" t="s">
        <v>175</v>
      </c>
    </row>
    <row r="569" spans="2:2" x14ac:dyDescent="0.2">
      <c r="B569" s="7" t="s">
        <v>393</v>
      </c>
    </row>
    <row r="570" spans="2:2" x14ac:dyDescent="0.2">
      <c r="B570" s="7" t="s">
        <v>313</v>
      </c>
    </row>
    <row r="571" spans="2:2" x14ac:dyDescent="0.2">
      <c r="B571" s="7" t="s">
        <v>545</v>
      </c>
    </row>
    <row r="572" spans="2:2" x14ac:dyDescent="0.2">
      <c r="B572" s="7" t="s">
        <v>314</v>
      </c>
    </row>
    <row r="573" spans="2:2" x14ac:dyDescent="0.2">
      <c r="B573" s="7" t="s">
        <v>521</v>
      </c>
    </row>
    <row r="574" spans="2:2" x14ac:dyDescent="0.2">
      <c r="B574" s="7" t="s">
        <v>221</v>
      </c>
    </row>
    <row r="575" spans="2:2" x14ac:dyDescent="0.2">
      <c r="B575" s="7" t="s">
        <v>222</v>
      </c>
    </row>
    <row r="576" spans="2:2" x14ac:dyDescent="0.2">
      <c r="B576" s="7" t="s">
        <v>319</v>
      </c>
    </row>
    <row r="577" spans="2:2" x14ac:dyDescent="0.2">
      <c r="B577" s="7" t="s">
        <v>351</v>
      </c>
    </row>
    <row r="578" spans="2:2" x14ac:dyDescent="0.2">
      <c r="B578" s="7" t="s">
        <v>200</v>
      </c>
    </row>
    <row r="579" spans="2:2" x14ac:dyDescent="0.2">
      <c r="B579" s="7" t="s">
        <v>364</v>
      </c>
    </row>
    <row r="580" spans="2:2" x14ac:dyDescent="0.2">
      <c r="B580" s="7" t="s">
        <v>316</v>
      </c>
    </row>
    <row r="581" spans="2:2" x14ac:dyDescent="0.2">
      <c r="B581" s="7" t="s">
        <v>417</v>
      </c>
    </row>
    <row r="582" spans="2:2" x14ac:dyDescent="0.2">
      <c r="B582" s="7" t="s">
        <v>177</v>
      </c>
    </row>
    <row r="583" spans="2:2" x14ac:dyDescent="0.2">
      <c r="B583" s="7" t="s">
        <v>397</v>
      </c>
    </row>
    <row r="584" spans="2:2" x14ac:dyDescent="0.2">
      <c r="B584" s="7" t="s">
        <v>259</v>
      </c>
    </row>
    <row r="585" spans="2:2" x14ac:dyDescent="0.2">
      <c r="B585" s="7" t="s">
        <v>178</v>
      </c>
    </row>
    <row r="586" spans="2:2" x14ac:dyDescent="0.2">
      <c r="B586" s="7" t="s">
        <v>610</v>
      </c>
    </row>
    <row r="587" spans="2:2" x14ac:dyDescent="0.2">
      <c r="B587" s="7" t="s">
        <v>611</v>
      </c>
    </row>
    <row r="588" spans="2:2" x14ac:dyDescent="0.2">
      <c r="B588" s="7" t="s">
        <v>52</v>
      </c>
    </row>
    <row r="589" spans="2:2" x14ac:dyDescent="0.2">
      <c r="B589" s="7" t="s">
        <v>317</v>
      </c>
    </row>
    <row r="590" spans="2:2" x14ac:dyDescent="0.2">
      <c r="B590" s="7" t="s">
        <v>686</v>
      </c>
    </row>
    <row r="591" spans="2:2" x14ac:dyDescent="0.2">
      <c r="B591" s="7" t="s">
        <v>398</v>
      </c>
    </row>
    <row r="592" spans="2:2" x14ac:dyDescent="0.2">
      <c r="B592" s="7" t="s">
        <v>419</v>
      </c>
    </row>
    <row r="593" spans="2:2" x14ac:dyDescent="0.2">
      <c r="B593" s="7" t="s">
        <v>180</v>
      </c>
    </row>
    <row r="594" spans="2:2" x14ac:dyDescent="0.2">
      <c r="B594" s="7" t="s">
        <v>366</v>
      </c>
    </row>
    <row r="595" spans="2:2" x14ac:dyDescent="0.2">
      <c r="B595" s="7" t="s">
        <v>341</v>
      </c>
    </row>
    <row r="596" spans="2:2" x14ac:dyDescent="0.2">
      <c r="B596" s="7" t="s">
        <v>454</v>
      </c>
    </row>
    <row r="597" spans="2:2" x14ac:dyDescent="0.2">
      <c r="B597" s="7" t="s">
        <v>260</v>
      </c>
    </row>
    <row r="598" spans="2:2" x14ac:dyDescent="0.2">
      <c r="B598" s="7" t="s">
        <v>223</v>
      </c>
    </row>
    <row r="599" spans="2:2" x14ac:dyDescent="0.2">
      <c r="B599" s="7" t="s">
        <v>337</v>
      </c>
    </row>
    <row r="600" spans="2:2" x14ac:dyDescent="0.2">
      <c r="B600" s="7" t="s">
        <v>257</v>
      </c>
    </row>
    <row r="601" spans="2:2" x14ac:dyDescent="0.2">
      <c r="B601" s="7" t="s">
        <v>468</v>
      </c>
    </row>
    <row r="602" spans="2:2" x14ac:dyDescent="0.2">
      <c r="B602" s="7" t="s">
        <v>300</v>
      </c>
    </row>
    <row r="603" spans="2:2" x14ac:dyDescent="0.2">
      <c r="B603" s="7" t="s">
        <v>215</v>
      </c>
    </row>
    <row r="604" spans="2:2" x14ac:dyDescent="0.2">
      <c r="B604" s="7" t="s">
        <v>134</v>
      </c>
    </row>
    <row r="605" spans="2:2" x14ac:dyDescent="0.2">
      <c r="B605" s="7" t="s">
        <v>150</v>
      </c>
    </row>
    <row r="606" spans="2:2" x14ac:dyDescent="0.2">
      <c r="B606" s="7" t="s">
        <v>55</v>
      </c>
    </row>
    <row r="607" spans="2:2" x14ac:dyDescent="0.2">
      <c r="B607" s="7" t="s">
        <v>318</v>
      </c>
    </row>
    <row r="608" spans="2:2" x14ac:dyDescent="0.2">
      <c r="B608" s="7" t="s">
        <v>108</v>
      </c>
    </row>
    <row r="609" spans="2:2" x14ac:dyDescent="0.2">
      <c r="B609" s="7" t="s">
        <v>154</v>
      </c>
    </row>
    <row r="610" spans="2:2" x14ac:dyDescent="0.2">
      <c r="B610" s="7" t="s">
        <v>224</v>
      </c>
    </row>
    <row r="611" spans="2:2" x14ac:dyDescent="0.2">
      <c r="B611" s="7" t="s">
        <v>471</v>
      </c>
    </row>
    <row r="612" spans="2:2" x14ac:dyDescent="0.2">
      <c r="B612" s="7" t="s">
        <v>261</v>
      </c>
    </row>
    <row r="613" spans="2:2" x14ac:dyDescent="0.2">
      <c r="B613" s="7" t="s">
        <v>109</v>
      </c>
    </row>
    <row r="614" spans="2:2" x14ac:dyDescent="0.2">
      <c r="B614" s="7" t="s">
        <v>262</v>
      </c>
    </row>
    <row r="615" spans="2:2" x14ac:dyDescent="0.2">
      <c r="B615" s="7" t="s">
        <v>653</v>
      </c>
    </row>
    <row r="616" spans="2:2" x14ac:dyDescent="0.2">
      <c r="B616" s="7" t="s">
        <v>320</v>
      </c>
    </row>
    <row r="617" spans="2:2" x14ac:dyDescent="0.2">
      <c r="B617" s="7" t="s">
        <v>353</v>
      </c>
    </row>
    <row r="618" spans="2:2" x14ac:dyDescent="0.2">
      <c r="B618" s="7" t="s">
        <v>367</v>
      </c>
    </row>
    <row r="619" spans="2:2" x14ac:dyDescent="0.2">
      <c r="B619" s="7" t="s">
        <v>263</v>
      </c>
    </row>
    <row r="620" spans="2:2" x14ac:dyDescent="0.2">
      <c r="B620" s="7" t="s">
        <v>632</v>
      </c>
    </row>
    <row r="621" spans="2:2" x14ac:dyDescent="0.2">
      <c r="B621" s="7" t="s">
        <v>111</v>
      </c>
    </row>
    <row r="622" spans="2:2" x14ac:dyDescent="0.2">
      <c r="B622" s="7" t="s">
        <v>59</v>
      </c>
    </row>
    <row r="623" spans="2:2" x14ac:dyDescent="0.2">
      <c r="B623" s="7" t="s">
        <v>390</v>
      </c>
    </row>
    <row r="624" spans="2:2" x14ac:dyDescent="0.2">
      <c r="B624" s="7" t="s">
        <v>616</v>
      </c>
    </row>
    <row r="625" spans="2:2" x14ac:dyDescent="0.2">
      <c r="B625" s="7" t="s">
        <v>306</v>
      </c>
    </row>
    <row r="626" spans="2:2" x14ac:dyDescent="0.2">
      <c r="B626" s="7" t="s">
        <v>62</v>
      </c>
    </row>
    <row r="627" spans="2:2" x14ac:dyDescent="0.2">
      <c r="B627" s="7" t="s">
        <v>232</v>
      </c>
    </row>
    <row r="628" spans="2:2" x14ac:dyDescent="0.2">
      <c r="B628" s="7" t="s">
        <v>501</v>
      </c>
    </row>
    <row r="629" spans="2:2" x14ac:dyDescent="0.2">
      <c r="B629" s="7" t="s">
        <v>64</v>
      </c>
    </row>
    <row r="630" spans="2:2" x14ac:dyDescent="0.2">
      <c r="B630" s="7" t="s">
        <v>282</v>
      </c>
    </row>
    <row r="631" spans="2:2" x14ac:dyDescent="0.2">
      <c r="B631" s="7" t="s">
        <v>321</v>
      </c>
    </row>
    <row r="632" spans="2:2" x14ac:dyDescent="0.2">
      <c r="B632" s="7" t="s">
        <v>112</v>
      </c>
    </row>
    <row r="633" spans="2:2" x14ac:dyDescent="0.2">
      <c r="B633" s="7" t="s">
        <v>264</v>
      </c>
    </row>
    <row r="634" spans="2:2" x14ac:dyDescent="0.2">
      <c r="B634" s="7" t="s">
        <v>67</v>
      </c>
    </row>
    <row r="635" spans="2:2" x14ac:dyDescent="0.2">
      <c r="B635" s="7" t="s">
        <v>201</v>
      </c>
    </row>
    <row r="636" spans="2:2" x14ac:dyDescent="0.2">
      <c r="B636" s="7" t="s">
        <v>343</v>
      </c>
    </row>
    <row r="637" spans="2:2" x14ac:dyDescent="0.2">
      <c r="B637" s="7" t="s">
        <v>323</v>
      </c>
    </row>
    <row r="638" spans="2:2" x14ac:dyDescent="0.2">
      <c r="B638" s="7" t="s">
        <v>527</v>
      </c>
    </row>
    <row r="639" spans="2:2" x14ac:dyDescent="0.2">
      <c r="B639" s="7" t="s">
        <v>70</v>
      </c>
    </row>
    <row r="640" spans="2:2" x14ac:dyDescent="0.2">
      <c r="B640" s="7" t="s">
        <v>72</v>
      </c>
    </row>
    <row r="641" spans="2:2" x14ac:dyDescent="0.2">
      <c r="B641" s="7" t="s">
        <v>114</v>
      </c>
    </row>
    <row r="642" spans="2:2" x14ac:dyDescent="0.2">
      <c r="B642" s="7" t="s">
        <v>265</v>
      </c>
    </row>
    <row r="643" spans="2:2" x14ac:dyDescent="0.2">
      <c r="B643" s="7" t="s">
        <v>225</v>
      </c>
    </row>
    <row r="644" spans="2:2" x14ac:dyDescent="0.2">
      <c r="B644" s="7" t="s">
        <v>158</v>
      </c>
    </row>
    <row r="645" spans="2:2" x14ac:dyDescent="0.2">
      <c r="B645" s="7" t="s">
        <v>400</v>
      </c>
    </row>
    <row r="646" spans="2:2" x14ac:dyDescent="0.2">
      <c r="B646" s="7" t="s">
        <v>226</v>
      </c>
    </row>
    <row r="647" spans="2:2" x14ac:dyDescent="0.2">
      <c r="B647" s="7" t="s">
        <v>266</v>
      </c>
    </row>
    <row r="648" spans="2:2" x14ac:dyDescent="0.2">
      <c r="B648" s="7" t="s">
        <v>267</v>
      </c>
    </row>
    <row r="649" spans="2:2" x14ac:dyDescent="0.2">
      <c r="B649" s="7" t="s">
        <v>75</v>
      </c>
    </row>
    <row r="650" spans="2:2" x14ac:dyDescent="0.2">
      <c r="B650" s="7" t="s">
        <v>268</v>
      </c>
    </row>
    <row r="651" spans="2:2" x14ac:dyDescent="0.2">
      <c r="B651" s="7" t="s">
        <v>78</v>
      </c>
    </row>
    <row r="652" spans="2:2" x14ac:dyDescent="0.2">
      <c r="B652" s="7" t="s">
        <v>529</v>
      </c>
    </row>
    <row r="653" spans="2:2" x14ac:dyDescent="0.2">
      <c r="B653" s="7" t="s">
        <v>81</v>
      </c>
    </row>
    <row r="654" spans="2:2" x14ac:dyDescent="0.2">
      <c r="B654" s="7" t="s">
        <v>375</v>
      </c>
    </row>
    <row r="655" spans="2:2" x14ac:dyDescent="0.2">
      <c r="B655" s="7" t="s">
        <v>391</v>
      </c>
    </row>
    <row r="656" spans="2:2" x14ac:dyDescent="0.2">
      <c r="B656" s="7" t="s">
        <v>116</v>
      </c>
    </row>
    <row r="657" spans="2:2" x14ac:dyDescent="0.2">
      <c r="B657" s="7" t="s">
        <v>344</v>
      </c>
    </row>
    <row r="658" spans="2:2" x14ac:dyDescent="0.2">
      <c r="B658" s="7" t="s">
        <v>85</v>
      </c>
    </row>
    <row r="659" spans="2:2" x14ac:dyDescent="0.2">
      <c r="B659" s="7" t="s">
        <v>83</v>
      </c>
    </row>
    <row r="660" spans="2:2" x14ac:dyDescent="0.2">
      <c r="B660" s="7" t="s">
        <v>84</v>
      </c>
    </row>
    <row r="661" spans="2:2" x14ac:dyDescent="0.2">
      <c r="B661" s="7" t="s">
        <v>86</v>
      </c>
    </row>
    <row r="662" spans="2:2" x14ac:dyDescent="0.2">
      <c r="B662" s="7" t="s">
        <v>87</v>
      </c>
    </row>
    <row r="663" spans="2:2" x14ac:dyDescent="0.2">
      <c r="B663" s="7" t="s">
        <v>88</v>
      </c>
    </row>
    <row r="664" spans="2:2" x14ac:dyDescent="0.2">
      <c r="B664" s="7" t="s">
        <v>89</v>
      </c>
    </row>
    <row r="665" spans="2:2" x14ac:dyDescent="0.2">
      <c r="B665" s="7" t="s">
        <v>90</v>
      </c>
    </row>
    <row r="666" spans="2:2" x14ac:dyDescent="0.2">
      <c r="B666" s="7" t="s">
        <v>91</v>
      </c>
    </row>
    <row r="667" spans="2:2" x14ac:dyDescent="0.2">
      <c r="B667" s="7" t="s">
        <v>160</v>
      </c>
    </row>
    <row r="668" spans="2:2" x14ac:dyDescent="0.2">
      <c r="B668" s="7" t="s">
        <v>92</v>
      </c>
    </row>
    <row r="669" spans="2:2" x14ac:dyDescent="0.2">
      <c r="B669" s="7" t="s">
        <v>117</v>
      </c>
    </row>
    <row r="670" spans="2:2" x14ac:dyDescent="0.2">
      <c r="B670" s="7" t="s">
        <v>94</v>
      </c>
    </row>
    <row r="671" spans="2:2" x14ac:dyDescent="0.2">
      <c r="B671" s="7" t="s">
        <v>202</v>
      </c>
    </row>
    <row r="672" spans="2:2" x14ac:dyDescent="0.2">
      <c r="B672" s="7" t="s">
        <v>118</v>
      </c>
    </row>
    <row r="673" spans="2:2" x14ac:dyDescent="0.2">
      <c r="B673" s="7" t="s">
        <v>534</v>
      </c>
    </row>
    <row r="674" spans="2:2" x14ac:dyDescent="0.2">
      <c r="B674" s="7" t="s">
        <v>269</v>
      </c>
    </row>
    <row r="675" spans="2:2" x14ac:dyDescent="0.2">
      <c r="B675" s="7" t="s">
        <v>161</v>
      </c>
    </row>
    <row r="676" spans="2:2" x14ac:dyDescent="0.2">
      <c r="B676" s="7" t="s">
        <v>326</v>
      </c>
    </row>
    <row r="677" spans="2:2" x14ac:dyDescent="0.2">
      <c r="B677" s="7" t="s">
        <v>227</v>
      </c>
    </row>
    <row r="678" spans="2:2" x14ac:dyDescent="0.2">
      <c r="B678" s="7" t="s">
        <v>270</v>
      </c>
    </row>
    <row r="679" spans="2:2" x14ac:dyDescent="0.2">
      <c r="B679" s="7" t="s">
        <v>660</v>
      </c>
    </row>
    <row r="680" spans="2:2" x14ac:dyDescent="0.2">
      <c r="B680" s="7" t="s">
        <v>271</v>
      </c>
    </row>
    <row r="681" spans="2:2" x14ac:dyDescent="0.2">
      <c r="B681" s="7" t="s">
        <v>355</v>
      </c>
    </row>
    <row r="682" spans="2:2" x14ac:dyDescent="0.2">
      <c r="B682" s="7" t="s">
        <v>327</v>
      </c>
    </row>
    <row r="683" spans="2:2" x14ac:dyDescent="0.2">
      <c r="B683" s="7" t="s">
        <v>95</v>
      </c>
    </row>
    <row r="684" spans="2:2" x14ac:dyDescent="0.2">
      <c r="B684" s="7" t="s">
        <v>382</v>
      </c>
    </row>
    <row r="685" spans="2:2" x14ac:dyDescent="0.2">
      <c r="B685" s="7" t="s">
        <v>162</v>
      </c>
    </row>
    <row r="686" spans="2:2" x14ac:dyDescent="0.2">
      <c r="B686" s="7" t="s">
        <v>383</v>
      </c>
    </row>
    <row r="687" spans="2:2" x14ac:dyDescent="0.2">
      <c r="B687" s="7" t="s">
        <v>272</v>
      </c>
    </row>
    <row r="688" spans="2:2" x14ac:dyDescent="0.2">
      <c r="B688" s="7" t="s">
        <v>245</v>
      </c>
    </row>
    <row r="689" spans="2:2" x14ac:dyDescent="0.2">
      <c r="B689" s="7" t="s">
        <v>203</v>
      </c>
    </row>
    <row r="690" spans="2:2" x14ac:dyDescent="0.2">
      <c r="B690" s="7" t="s">
        <v>384</v>
      </c>
    </row>
    <row r="691" spans="2:2" x14ac:dyDescent="0.2">
      <c r="B691" s="7" t="s">
        <v>376</v>
      </c>
    </row>
    <row r="692" spans="2:2" x14ac:dyDescent="0.2">
      <c r="B692" s="7" t="s">
        <v>368</v>
      </c>
    </row>
    <row r="693" spans="2:2" x14ac:dyDescent="0.2">
      <c r="B693" s="7" t="s">
        <v>537</v>
      </c>
    </row>
    <row r="694" spans="2:2" x14ac:dyDescent="0.2">
      <c r="B694" s="7" t="s">
        <v>273</v>
      </c>
    </row>
    <row r="695" spans="2:2" x14ac:dyDescent="0.2">
      <c r="B695" s="7" t="s">
        <v>539</v>
      </c>
    </row>
    <row r="696" spans="2:2" x14ac:dyDescent="0.2">
      <c r="B696" s="7" t="s">
        <v>97</v>
      </c>
    </row>
    <row r="697" spans="2:2" x14ac:dyDescent="0.2">
      <c r="B697" s="7" t="s">
        <v>328</v>
      </c>
    </row>
    <row r="698" spans="2:2" x14ac:dyDescent="0.2">
      <c r="B698" s="7" t="s">
        <v>163</v>
      </c>
    </row>
    <row r="699" spans="2:2" x14ac:dyDescent="0.2">
      <c r="B699" s="7" t="s">
        <v>330</v>
      </c>
    </row>
    <row r="700" spans="2:2" x14ac:dyDescent="0.2">
      <c r="B700" s="7" t="s">
        <v>208</v>
      </c>
    </row>
    <row r="701" spans="2:2" x14ac:dyDescent="0.2">
      <c r="B701" s="7" t="s">
        <v>228</v>
      </c>
    </row>
    <row r="702" spans="2:2" x14ac:dyDescent="0.2">
      <c r="B702" s="7" t="s">
        <v>331</v>
      </c>
    </row>
    <row r="703" spans="2:2" x14ac:dyDescent="0.2">
      <c r="B703" s="7" t="s">
        <v>669</v>
      </c>
    </row>
    <row r="704" spans="2:2" x14ac:dyDescent="0.2">
      <c r="B704" s="7" t="s">
        <v>649</v>
      </c>
    </row>
    <row r="705" spans="2:2" x14ac:dyDescent="0.2">
      <c r="B705" s="7" t="s">
        <v>277</v>
      </c>
    </row>
    <row r="706" spans="2:2" x14ac:dyDescent="0.2">
      <c r="B706" s="7" t="s">
        <v>98</v>
      </c>
    </row>
    <row r="707" spans="2:2" x14ac:dyDescent="0.2">
      <c r="B707" s="7" t="s">
        <v>99</v>
      </c>
    </row>
    <row r="708" spans="2:2" x14ac:dyDescent="0.2">
      <c r="B708" s="7" t="s">
        <v>100</v>
      </c>
    </row>
    <row r="709" spans="2:2" x14ac:dyDescent="0.2">
      <c r="B709" s="7" t="s">
        <v>595</v>
      </c>
    </row>
    <row r="710" spans="2:2" x14ac:dyDescent="0.2">
      <c r="B710" s="7" t="s">
        <v>230</v>
      </c>
    </row>
    <row r="711" spans="2:2" x14ac:dyDescent="0.2">
      <c r="B711" s="7" t="s">
        <v>333</v>
      </c>
    </row>
    <row r="712" spans="2:2" x14ac:dyDescent="0.2">
      <c r="B712" s="7" t="s">
        <v>508</v>
      </c>
    </row>
    <row r="713" spans="2:2" x14ac:dyDescent="0.2">
      <c r="B713" s="7" t="s">
        <v>370</v>
      </c>
    </row>
    <row r="714" spans="2:2" x14ac:dyDescent="0.2">
      <c r="B714" s="7" t="s">
        <v>119</v>
      </c>
    </row>
    <row r="715" spans="2:2" x14ac:dyDescent="0.2">
      <c r="B715" s="7" t="s">
        <v>275</v>
      </c>
    </row>
    <row r="716" spans="2:2" x14ac:dyDescent="0.2">
      <c r="B716" s="7" t="s">
        <v>101</v>
      </c>
    </row>
    <row r="717" spans="2:2" x14ac:dyDescent="0.2">
      <c r="B717" s="7" t="s">
        <v>530</v>
      </c>
    </row>
    <row r="718" spans="2:2" x14ac:dyDescent="0.2">
      <c r="B718" s="7" t="s">
        <v>120</v>
      </c>
    </row>
    <row r="719" spans="2:2" x14ac:dyDescent="0.2">
      <c r="B719" s="7" t="s">
        <v>334</v>
      </c>
    </row>
    <row r="720" spans="2:2" x14ac:dyDescent="0.2">
      <c r="B720" s="7" t="s">
        <v>231</v>
      </c>
    </row>
    <row r="721" spans="1:2" x14ac:dyDescent="0.2">
      <c r="B721" s="7" t="s">
        <v>181</v>
      </c>
    </row>
    <row r="722" spans="1:2" x14ac:dyDescent="0.2">
      <c r="B722" s="7" t="s">
        <v>204</v>
      </c>
    </row>
    <row r="723" spans="1:2" x14ac:dyDescent="0.2">
      <c r="B723" s="7" t="s">
        <v>145</v>
      </c>
    </row>
    <row r="724" spans="1:2" x14ac:dyDescent="0.2">
      <c r="B724" s="7" t="s">
        <v>276</v>
      </c>
    </row>
    <row r="725" spans="1:2" x14ac:dyDescent="0.2">
      <c r="B725" s="7" t="s">
        <v>102</v>
      </c>
    </row>
    <row r="726" spans="1:2" x14ac:dyDescent="0.2">
      <c r="B726" s="7" t="s">
        <v>405</v>
      </c>
    </row>
    <row r="727" spans="1:2" x14ac:dyDescent="0.2">
      <c r="B727" s="7" t="s">
        <v>346</v>
      </c>
    </row>
    <row r="728" spans="1:2" x14ac:dyDescent="0.2">
      <c r="B728" s="7" t="s">
        <v>182</v>
      </c>
    </row>
    <row r="729" spans="1:2" x14ac:dyDescent="0.2">
      <c r="B729" s="7" t="s">
        <v>131</v>
      </c>
    </row>
    <row r="730" spans="1:2" x14ac:dyDescent="0.2">
      <c r="B730" s="7" t="s">
        <v>613</v>
      </c>
    </row>
    <row r="731" spans="1:2" x14ac:dyDescent="0.2">
      <c r="B731" s="7" t="s">
        <v>122</v>
      </c>
    </row>
    <row r="732" spans="1:2" x14ac:dyDescent="0.2">
      <c r="A732" s="7" t="s">
        <v>443</v>
      </c>
      <c r="B732" s="7" t="s">
        <v>205</v>
      </c>
    </row>
    <row r="733" spans="1:2" x14ac:dyDescent="0.2">
      <c r="B733" s="7" t="s">
        <v>207</v>
      </c>
    </row>
    <row r="734" spans="1:2" x14ac:dyDescent="0.2">
      <c r="B734" s="7" t="s">
        <v>11</v>
      </c>
    </row>
    <row r="735" spans="1:2" x14ac:dyDescent="0.2">
      <c r="B735" s="7" t="s">
        <v>484</v>
      </c>
    </row>
    <row r="736" spans="1:2" x14ac:dyDescent="0.2">
      <c r="B736" s="7" t="s">
        <v>349</v>
      </c>
    </row>
    <row r="737" spans="2:2" x14ac:dyDescent="0.2">
      <c r="B737" s="7" t="s">
        <v>431</v>
      </c>
    </row>
    <row r="738" spans="2:2" x14ac:dyDescent="0.2">
      <c r="B738" s="7" t="s">
        <v>395</v>
      </c>
    </row>
    <row r="739" spans="2:2" x14ac:dyDescent="0.2">
      <c r="B739" s="7" t="s">
        <v>169</v>
      </c>
    </row>
    <row r="740" spans="2:2" x14ac:dyDescent="0.2">
      <c r="B740" s="7" t="s">
        <v>533</v>
      </c>
    </row>
    <row r="741" spans="2:2" x14ac:dyDescent="0.2">
      <c r="B741" s="7" t="s">
        <v>243</v>
      </c>
    </row>
    <row r="742" spans="2:2" x14ac:dyDescent="0.2">
      <c r="B742" s="7" t="s">
        <v>139</v>
      </c>
    </row>
    <row r="743" spans="2:2" x14ac:dyDescent="0.2">
      <c r="B743" s="7" t="s">
        <v>634</v>
      </c>
    </row>
    <row r="744" spans="2:2" x14ac:dyDescent="0.2">
      <c r="B744" s="7" t="s">
        <v>247</v>
      </c>
    </row>
    <row r="745" spans="2:2" x14ac:dyDescent="0.2">
      <c r="B745" s="7" t="s">
        <v>249</v>
      </c>
    </row>
    <row r="746" spans="2:2" x14ac:dyDescent="0.2">
      <c r="B746" s="7" t="s">
        <v>193</v>
      </c>
    </row>
    <row r="747" spans="2:2" x14ac:dyDescent="0.2">
      <c r="B747" s="7" t="s">
        <v>492</v>
      </c>
    </row>
    <row r="748" spans="2:2" x14ac:dyDescent="0.2">
      <c r="B748" s="7" t="s">
        <v>449</v>
      </c>
    </row>
    <row r="749" spans="2:2" x14ac:dyDescent="0.2">
      <c r="B749" s="7" t="s">
        <v>451</v>
      </c>
    </row>
    <row r="750" spans="2:2" x14ac:dyDescent="0.2">
      <c r="B750" s="7" t="s">
        <v>43</v>
      </c>
    </row>
    <row r="751" spans="2:2" x14ac:dyDescent="0.2">
      <c r="B751" s="7" t="s">
        <v>308</v>
      </c>
    </row>
    <row r="752" spans="2:2" x14ac:dyDescent="0.2">
      <c r="B752" s="7" t="s">
        <v>364</v>
      </c>
    </row>
    <row r="753" spans="2:2" x14ac:dyDescent="0.2">
      <c r="B753" s="7" t="s">
        <v>417</v>
      </c>
    </row>
    <row r="754" spans="2:2" x14ac:dyDescent="0.2">
      <c r="B754" s="7" t="s">
        <v>259</v>
      </c>
    </row>
    <row r="755" spans="2:2" x14ac:dyDescent="0.2">
      <c r="B755" s="7" t="s">
        <v>108</v>
      </c>
    </row>
    <row r="756" spans="2:2" x14ac:dyDescent="0.2">
      <c r="B756" s="7" t="s">
        <v>111</v>
      </c>
    </row>
    <row r="757" spans="2:2" x14ac:dyDescent="0.2">
      <c r="B757" s="7" t="s">
        <v>114</v>
      </c>
    </row>
    <row r="758" spans="2:2" x14ac:dyDescent="0.2">
      <c r="B758" s="7" t="s">
        <v>265</v>
      </c>
    </row>
    <row r="759" spans="2:2" x14ac:dyDescent="0.2">
      <c r="B759" s="7" t="s">
        <v>158</v>
      </c>
    </row>
    <row r="760" spans="2:2" x14ac:dyDescent="0.2">
      <c r="B760" s="7" t="s">
        <v>266</v>
      </c>
    </row>
    <row r="761" spans="2:2" x14ac:dyDescent="0.2">
      <c r="B761" s="7" t="s">
        <v>87</v>
      </c>
    </row>
    <row r="762" spans="2:2" x14ac:dyDescent="0.2">
      <c r="B762" s="7" t="s">
        <v>269</v>
      </c>
    </row>
    <row r="763" spans="2:2" x14ac:dyDescent="0.2">
      <c r="B763" s="7" t="s">
        <v>95</v>
      </c>
    </row>
    <row r="764" spans="2:2" x14ac:dyDescent="0.2">
      <c r="B764" s="7" t="s">
        <v>331</v>
      </c>
    </row>
    <row r="765" spans="2:2" x14ac:dyDescent="0.2">
      <c r="B765" s="7" t="s">
        <v>119</v>
      </c>
    </row>
    <row r="766" spans="2:2" x14ac:dyDescent="0.2">
      <c r="B766" s="7" t="s">
        <v>275</v>
      </c>
    </row>
    <row r="767" spans="2:2" x14ac:dyDescent="0.2">
      <c r="B767" s="7" t="s">
        <v>120</v>
      </c>
    </row>
    <row r="768" spans="2:2" x14ac:dyDescent="0.2">
      <c r="B768" s="7" t="s">
        <v>145</v>
      </c>
    </row>
    <row r="769" spans="1:2" x14ac:dyDescent="0.2">
      <c r="B769" s="7" t="s">
        <v>182</v>
      </c>
    </row>
    <row r="770" spans="1:2" x14ac:dyDescent="0.2">
      <c r="A770" s="7" t="s">
        <v>692</v>
      </c>
      <c r="B770" s="7" t="s">
        <v>614</v>
      </c>
    </row>
    <row r="771" spans="1:2" x14ac:dyDescent="0.2">
      <c r="B771" s="7" t="s">
        <v>205</v>
      </c>
    </row>
    <row r="772" spans="1:2" x14ac:dyDescent="0.2">
      <c r="B772" s="7" t="s">
        <v>233</v>
      </c>
    </row>
    <row r="773" spans="1:2" x14ac:dyDescent="0.2">
      <c r="B773" s="7" t="s">
        <v>207</v>
      </c>
    </row>
    <row r="774" spans="1:2" x14ac:dyDescent="0.2">
      <c r="B774" s="7" t="s">
        <v>278</v>
      </c>
    </row>
    <row r="775" spans="1:2" x14ac:dyDescent="0.2">
      <c r="B775" s="7" t="s">
        <v>683</v>
      </c>
    </row>
    <row r="776" spans="1:2" x14ac:dyDescent="0.2">
      <c r="B776" s="7" t="s">
        <v>8</v>
      </c>
    </row>
    <row r="777" spans="1:2" x14ac:dyDescent="0.2">
      <c r="B777" s="7" t="s">
        <v>236</v>
      </c>
    </row>
    <row r="778" spans="1:2" x14ac:dyDescent="0.2">
      <c r="B778" s="7" t="s">
        <v>183</v>
      </c>
    </row>
    <row r="779" spans="1:2" x14ac:dyDescent="0.2">
      <c r="B779" s="7" t="s">
        <v>124</v>
      </c>
    </row>
    <row r="780" spans="1:2" x14ac:dyDescent="0.2">
      <c r="B780" s="7" t="s">
        <v>408</v>
      </c>
    </row>
    <row r="781" spans="1:2" x14ac:dyDescent="0.2">
      <c r="B781" s="7" t="s">
        <v>281</v>
      </c>
    </row>
    <row r="782" spans="1:2" x14ac:dyDescent="0.2">
      <c r="B782" s="7" t="s">
        <v>103</v>
      </c>
    </row>
    <row r="783" spans="1:2" x14ac:dyDescent="0.2">
      <c r="B783" s="7" t="s">
        <v>10</v>
      </c>
    </row>
    <row r="784" spans="1:2" x14ac:dyDescent="0.2">
      <c r="B784" s="7" t="s">
        <v>237</v>
      </c>
    </row>
    <row r="785" spans="2:2" x14ac:dyDescent="0.2">
      <c r="B785" s="7" t="s">
        <v>185</v>
      </c>
    </row>
    <row r="786" spans="2:2" x14ac:dyDescent="0.2">
      <c r="B786" s="7" t="s">
        <v>283</v>
      </c>
    </row>
    <row r="787" spans="2:2" x14ac:dyDescent="0.2">
      <c r="B787" s="7" t="s">
        <v>359</v>
      </c>
    </row>
    <row r="788" spans="2:2" x14ac:dyDescent="0.2">
      <c r="B788" s="7" t="s">
        <v>186</v>
      </c>
    </row>
    <row r="789" spans="2:2" x14ac:dyDescent="0.2">
      <c r="B789" s="7" t="s">
        <v>187</v>
      </c>
    </row>
    <row r="790" spans="2:2" x14ac:dyDescent="0.2">
      <c r="B790" s="7" t="s">
        <v>258</v>
      </c>
    </row>
    <row r="791" spans="2:2" x14ac:dyDescent="0.2">
      <c r="B791" s="7" t="s">
        <v>646</v>
      </c>
    </row>
    <row r="792" spans="2:2" x14ac:dyDescent="0.2">
      <c r="B792" s="7" t="s">
        <v>127</v>
      </c>
    </row>
    <row r="793" spans="2:2" x14ac:dyDescent="0.2">
      <c r="B793" s="7" t="s">
        <v>209</v>
      </c>
    </row>
    <row r="794" spans="2:2" x14ac:dyDescent="0.2">
      <c r="B794" s="7" t="s">
        <v>671</v>
      </c>
    </row>
    <row r="795" spans="2:2" x14ac:dyDescent="0.2">
      <c r="B795" s="7" t="s">
        <v>11</v>
      </c>
    </row>
    <row r="796" spans="2:2" x14ac:dyDescent="0.2">
      <c r="B796" s="7" t="s">
        <v>284</v>
      </c>
    </row>
    <row r="797" spans="2:2" x14ac:dyDescent="0.2">
      <c r="B797" s="7" t="s">
        <v>188</v>
      </c>
    </row>
    <row r="798" spans="2:2" x14ac:dyDescent="0.2">
      <c r="B798" s="7" t="s">
        <v>4</v>
      </c>
    </row>
    <row r="799" spans="2:2" x14ac:dyDescent="0.2">
      <c r="B799" s="7" t="s">
        <v>285</v>
      </c>
    </row>
    <row r="800" spans="2:2" x14ac:dyDescent="0.2">
      <c r="B800" s="7" t="s">
        <v>286</v>
      </c>
    </row>
    <row r="801" spans="2:2" x14ac:dyDescent="0.2">
      <c r="B801" s="7" t="s">
        <v>410</v>
      </c>
    </row>
    <row r="802" spans="2:2" x14ac:dyDescent="0.2">
      <c r="B802" s="7" t="s">
        <v>164</v>
      </c>
    </row>
    <row r="803" spans="2:2" x14ac:dyDescent="0.2">
      <c r="B803" s="7" t="s">
        <v>189</v>
      </c>
    </row>
    <row r="804" spans="2:2" x14ac:dyDescent="0.2">
      <c r="B804" s="7" t="s">
        <v>210</v>
      </c>
    </row>
    <row r="805" spans="2:2" x14ac:dyDescent="0.2">
      <c r="B805" s="7" t="s">
        <v>129</v>
      </c>
    </row>
    <row r="806" spans="2:2" x14ac:dyDescent="0.2">
      <c r="B806" s="7" t="s">
        <v>287</v>
      </c>
    </row>
    <row r="807" spans="2:2" x14ac:dyDescent="0.2">
      <c r="B807" s="7" t="s">
        <v>12</v>
      </c>
    </row>
    <row r="808" spans="2:2" x14ac:dyDescent="0.2">
      <c r="B808" s="7" t="s">
        <v>484</v>
      </c>
    </row>
    <row r="809" spans="2:2" x14ac:dyDescent="0.2">
      <c r="B809" s="7" t="s">
        <v>190</v>
      </c>
    </row>
    <row r="810" spans="2:2" x14ac:dyDescent="0.2">
      <c r="B810" s="7" t="s">
        <v>658</v>
      </c>
    </row>
    <row r="811" spans="2:2" x14ac:dyDescent="0.2">
      <c r="B811" s="7" t="s">
        <v>288</v>
      </c>
    </row>
    <row r="812" spans="2:2" x14ac:dyDescent="0.2">
      <c r="B812" s="7" t="s">
        <v>13</v>
      </c>
    </row>
    <row r="813" spans="2:2" x14ac:dyDescent="0.2">
      <c r="B813" s="7" t="s">
        <v>289</v>
      </c>
    </row>
    <row r="814" spans="2:2" x14ac:dyDescent="0.2">
      <c r="B814" s="7" t="s">
        <v>14</v>
      </c>
    </row>
    <row r="815" spans="2:2" x14ac:dyDescent="0.2">
      <c r="B815" s="7" t="s">
        <v>374</v>
      </c>
    </row>
    <row r="816" spans="2:2" x14ac:dyDescent="0.2">
      <c r="B816" s="7" t="s">
        <v>106</v>
      </c>
    </row>
    <row r="817" spans="2:2" x14ac:dyDescent="0.2">
      <c r="B817" s="7" t="s">
        <v>349</v>
      </c>
    </row>
    <row r="818" spans="2:2" x14ac:dyDescent="0.2">
      <c r="B818" s="7" t="s">
        <v>486</v>
      </c>
    </row>
    <row r="819" spans="2:2" x14ac:dyDescent="0.2">
      <c r="B819" s="7" t="s">
        <v>291</v>
      </c>
    </row>
    <row r="820" spans="2:2" x14ac:dyDescent="0.2">
      <c r="B820" s="7" t="s">
        <v>211</v>
      </c>
    </row>
    <row r="821" spans="2:2" x14ac:dyDescent="0.2">
      <c r="B821" s="7" t="s">
        <v>532</v>
      </c>
    </row>
    <row r="822" spans="2:2" x14ac:dyDescent="0.2">
      <c r="B822" s="7" t="s">
        <v>388</v>
      </c>
    </row>
    <row r="823" spans="2:2" x14ac:dyDescent="0.2">
      <c r="B823" s="7" t="s">
        <v>431</v>
      </c>
    </row>
    <row r="824" spans="2:2" x14ac:dyDescent="0.2">
      <c r="B824" s="7" t="s">
        <v>292</v>
      </c>
    </row>
    <row r="825" spans="2:2" x14ac:dyDescent="0.2">
      <c r="B825" s="7" t="s">
        <v>293</v>
      </c>
    </row>
    <row r="826" spans="2:2" x14ac:dyDescent="0.2">
      <c r="B826" s="7" t="s">
        <v>212</v>
      </c>
    </row>
    <row r="827" spans="2:2" x14ac:dyDescent="0.2">
      <c r="B827" s="7" t="s">
        <v>294</v>
      </c>
    </row>
    <row r="828" spans="2:2" x14ac:dyDescent="0.2">
      <c r="B828" s="7" t="s">
        <v>295</v>
      </c>
    </row>
    <row r="829" spans="2:2" x14ac:dyDescent="0.2">
      <c r="B829" s="7" t="s">
        <v>239</v>
      </c>
    </row>
    <row r="830" spans="2:2" x14ac:dyDescent="0.2">
      <c r="B830" s="7" t="s">
        <v>536</v>
      </c>
    </row>
    <row r="831" spans="2:2" x14ac:dyDescent="0.2">
      <c r="B831" s="7" t="s">
        <v>296</v>
      </c>
    </row>
    <row r="832" spans="2:2" x14ac:dyDescent="0.2">
      <c r="B832" s="7" t="s">
        <v>16</v>
      </c>
    </row>
    <row r="833" spans="2:2" x14ac:dyDescent="0.2">
      <c r="B833" s="7" t="s">
        <v>464</v>
      </c>
    </row>
    <row r="834" spans="2:2" x14ac:dyDescent="0.2">
      <c r="B834" s="7" t="s">
        <v>395</v>
      </c>
    </row>
    <row r="835" spans="2:2" x14ac:dyDescent="0.2">
      <c r="B835" s="7" t="s">
        <v>133</v>
      </c>
    </row>
    <row r="836" spans="2:2" x14ac:dyDescent="0.2">
      <c r="B836" s="7" t="s">
        <v>378</v>
      </c>
    </row>
    <row r="837" spans="2:2" x14ac:dyDescent="0.2">
      <c r="B837" s="7" t="s">
        <v>18</v>
      </c>
    </row>
    <row r="838" spans="2:2" x14ac:dyDescent="0.2">
      <c r="B838" s="7" t="s">
        <v>20</v>
      </c>
    </row>
    <row r="839" spans="2:2" x14ac:dyDescent="0.2">
      <c r="B839" s="7" t="s">
        <v>169</v>
      </c>
    </row>
    <row r="840" spans="2:2" x14ac:dyDescent="0.2">
      <c r="B840" s="7" t="s">
        <v>138</v>
      </c>
    </row>
    <row r="841" spans="2:2" x14ac:dyDescent="0.2">
      <c r="B841" s="7" t="s">
        <v>621</v>
      </c>
    </row>
    <row r="842" spans="2:2" x14ac:dyDescent="0.2">
      <c r="B842" s="7" t="s">
        <v>338</v>
      </c>
    </row>
    <row r="843" spans="2:2" x14ac:dyDescent="0.2">
      <c r="B843" s="7" t="s">
        <v>241</v>
      </c>
    </row>
    <row r="844" spans="2:2" x14ac:dyDescent="0.2">
      <c r="B844" s="7" t="s">
        <v>676</v>
      </c>
    </row>
    <row r="845" spans="2:2" x14ac:dyDescent="0.2">
      <c r="B845" s="7" t="s">
        <v>214</v>
      </c>
    </row>
    <row r="846" spans="2:2" x14ac:dyDescent="0.2">
      <c r="B846" s="7" t="s">
        <v>513</v>
      </c>
    </row>
    <row r="847" spans="2:2" x14ac:dyDescent="0.2">
      <c r="B847" s="7" t="s">
        <v>22</v>
      </c>
    </row>
    <row r="848" spans="2:2" x14ac:dyDescent="0.2">
      <c r="B848" s="7" t="s">
        <v>297</v>
      </c>
    </row>
    <row r="849" spans="2:2" x14ac:dyDescent="0.2">
      <c r="B849" s="7" t="s">
        <v>170</v>
      </c>
    </row>
    <row r="850" spans="2:2" x14ac:dyDescent="0.2">
      <c r="B850" s="7" t="s">
        <v>25</v>
      </c>
    </row>
    <row r="851" spans="2:2" x14ac:dyDescent="0.2">
      <c r="B851" s="7" t="s">
        <v>242</v>
      </c>
    </row>
    <row r="852" spans="2:2" x14ac:dyDescent="0.2">
      <c r="B852" s="7" t="s">
        <v>533</v>
      </c>
    </row>
    <row r="853" spans="2:2" x14ac:dyDescent="0.2">
      <c r="B853" s="7" t="s">
        <v>389</v>
      </c>
    </row>
    <row r="854" spans="2:2" x14ac:dyDescent="0.2">
      <c r="B854" s="7" t="s">
        <v>135</v>
      </c>
    </row>
    <row r="855" spans="2:2" x14ac:dyDescent="0.2">
      <c r="B855" s="7" t="s">
        <v>218</v>
      </c>
    </row>
    <row r="856" spans="2:2" x14ac:dyDescent="0.2">
      <c r="B856" s="7" t="s">
        <v>298</v>
      </c>
    </row>
    <row r="857" spans="2:2" x14ac:dyDescent="0.2">
      <c r="B857" s="7" t="s">
        <v>243</v>
      </c>
    </row>
    <row r="858" spans="2:2" x14ac:dyDescent="0.2">
      <c r="B858" s="7" t="s">
        <v>216</v>
      </c>
    </row>
    <row r="859" spans="2:2" x14ac:dyDescent="0.2">
      <c r="B859" s="7" t="s">
        <v>240</v>
      </c>
    </row>
    <row r="860" spans="2:2" x14ac:dyDescent="0.2">
      <c r="B860" s="7" t="s">
        <v>172</v>
      </c>
    </row>
    <row r="861" spans="2:2" x14ac:dyDescent="0.2">
      <c r="B861" s="7" t="s">
        <v>244</v>
      </c>
    </row>
    <row r="862" spans="2:2" x14ac:dyDescent="0.2">
      <c r="B862" s="7" t="s">
        <v>466</v>
      </c>
    </row>
    <row r="863" spans="2:2" x14ac:dyDescent="0.2">
      <c r="B863" s="7" t="s">
        <v>139</v>
      </c>
    </row>
    <row r="864" spans="2:2" x14ac:dyDescent="0.2">
      <c r="B864" s="7" t="s">
        <v>27</v>
      </c>
    </row>
    <row r="865" spans="2:2" x14ac:dyDescent="0.2">
      <c r="B865" s="7" t="s">
        <v>663</v>
      </c>
    </row>
    <row r="866" spans="2:2" x14ac:dyDescent="0.2">
      <c r="B866" s="7" t="s">
        <v>246</v>
      </c>
    </row>
    <row r="867" spans="2:2" x14ac:dyDescent="0.2">
      <c r="B867" s="7" t="s">
        <v>634</v>
      </c>
    </row>
    <row r="868" spans="2:2" x14ac:dyDescent="0.2">
      <c r="B868" s="7" t="s">
        <v>541</v>
      </c>
    </row>
    <row r="869" spans="2:2" x14ac:dyDescent="0.2">
      <c r="B869" s="7" t="s">
        <v>247</v>
      </c>
    </row>
    <row r="870" spans="2:2" x14ac:dyDescent="0.2">
      <c r="B870" s="7" t="s">
        <v>299</v>
      </c>
    </row>
    <row r="871" spans="2:2" x14ac:dyDescent="0.2">
      <c r="B871" s="7" t="s">
        <v>516</v>
      </c>
    </row>
    <row r="872" spans="2:2" x14ac:dyDescent="0.2">
      <c r="B872" s="7" t="s">
        <v>249</v>
      </c>
    </row>
    <row r="873" spans="2:2" x14ac:dyDescent="0.2">
      <c r="B873" s="7" t="s">
        <v>142</v>
      </c>
    </row>
    <row r="874" spans="2:2" x14ac:dyDescent="0.2">
      <c r="B874" s="7" t="s">
        <v>643</v>
      </c>
    </row>
    <row r="875" spans="2:2" x14ac:dyDescent="0.2">
      <c r="B875" s="7" t="s">
        <v>113</v>
      </c>
    </row>
    <row r="876" spans="2:2" x14ac:dyDescent="0.2">
      <c r="B876" s="7" t="s">
        <v>217</v>
      </c>
    </row>
    <row r="877" spans="2:2" x14ac:dyDescent="0.2">
      <c r="B877" s="7" t="s">
        <v>191</v>
      </c>
    </row>
    <row r="878" spans="2:2" x14ac:dyDescent="0.2">
      <c r="B878" s="7" t="s">
        <v>7</v>
      </c>
    </row>
    <row r="879" spans="2:2" x14ac:dyDescent="0.2">
      <c r="B879" s="7" t="s">
        <v>193</v>
      </c>
    </row>
    <row r="880" spans="2:2" x14ac:dyDescent="0.2">
      <c r="B880" s="7" t="s">
        <v>31</v>
      </c>
    </row>
    <row r="881" spans="2:2" x14ac:dyDescent="0.2">
      <c r="B881" s="7" t="s">
        <v>492</v>
      </c>
    </row>
    <row r="882" spans="2:2" x14ac:dyDescent="0.2">
      <c r="B882" s="7" t="s">
        <v>564</v>
      </c>
    </row>
    <row r="883" spans="2:2" x14ac:dyDescent="0.2">
      <c r="B883" s="7" t="s">
        <v>449</v>
      </c>
    </row>
    <row r="884" spans="2:2" x14ac:dyDescent="0.2">
      <c r="B884" s="7" t="s">
        <v>301</v>
      </c>
    </row>
    <row r="885" spans="2:2" x14ac:dyDescent="0.2">
      <c r="B885" s="7" t="s">
        <v>302</v>
      </c>
    </row>
    <row r="886" spans="2:2" x14ac:dyDescent="0.2">
      <c r="B886" s="7" t="s">
        <v>350</v>
      </c>
    </row>
    <row r="887" spans="2:2" x14ac:dyDescent="0.2">
      <c r="B887" s="7" t="s">
        <v>33</v>
      </c>
    </row>
    <row r="888" spans="2:2" x14ac:dyDescent="0.2">
      <c r="B888" s="7" t="s">
        <v>250</v>
      </c>
    </row>
    <row r="889" spans="2:2" x14ac:dyDescent="0.2">
      <c r="B889" s="7" t="s">
        <v>251</v>
      </c>
    </row>
    <row r="890" spans="2:2" x14ac:dyDescent="0.2">
      <c r="B890" s="7" t="s">
        <v>253</v>
      </c>
    </row>
    <row r="891" spans="2:2" x14ac:dyDescent="0.2">
      <c r="B891" s="7" t="s">
        <v>655</v>
      </c>
    </row>
    <row r="892" spans="2:2" x14ac:dyDescent="0.2">
      <c r="B892" s="7" t="s">
        <v>667</v>
      </c>
    </row>
    <row r="893" spans="2:2" x14ac:dyDescent="0.2">
      <c r="B893" s="7" t="s">
        <v>194</v>
      </c>
    </row>
    <row r="894" spans="2:2" x14ac:dyDescent="0.2">
      <c r="B894" s="7" t="s">
        <v>195</v>
      </c>
    </row>
    <row r="895" spans="2:2" x14ac:dyDescent="0.2">
      <c r="B895" s="7" t="s">
        <v>36</v>
      </c>
    </row>
    <row r="896" spans="2:2" x14ac:dyDescent="0.2">
      <c r="B896" s="7" t="s">
        <v>379</v>
      </c>
    </row>
    <row r="897" spans="2:2" x14ac:dyDescent="0.2">
      <c r="B897" s="7" t="s">
        <v>451</v>
      </c>
    </row>
    <row r="898" spans="2:2" x14ac:dyDescent="0.2">
      <c r="B898" s="7" t="s">
        <v>146</v>
      </c>
    </row>
    <row r="899" spans="2:2" x14ac:dyDescent="0.2">
      <c r="B899" s="7" t="s">
        <v>604</v>
      </c>
    </row>
    <row r="900" spans="2:2" x14ac:dyDescent="0.2">
      <c r="B900" s="7" t="s">
        <v>303</v>
      </c>
    </row>
    <row r="901" spans="2:2" x14ac:dyDescent="0.2">
      <c r="B901" s="7" t="s">
        <v>254</v>
      </c>
    </row>
    <row r="902" spans="2:2" x14ac:dyDescent="0.2">
      <c r="B902" s="7" t="s">
        <v>107</v>
      </c>
    </row>
    <row r="903" spans="2:2" x14ac:dyDescent="0.2">
      <c r="B903" s="7" t="s">
        <v>542</v>
      </c>
    </row>
    <row r="904" spans="2:2" x14ac:dyDescent="0.2">
      <c r="B904" s="7" t="s">
        <v>219</v>
      </c>
    </row>
    <row r="905" spans="2:2" x14ac:dyDescent="0.2">
      <c r="B905" s="7" t="s">
        <v>380</v>
      </c>
    </row>
    <row r="906" spans="2:2" x14ac:dyDescent="0.2">
      <c r="B906" s="7" t="s">
        <v>304</v>
      </c>
    </row>
    <row r="907" spans="2:2" x14ac:dyDescent="0.2">
      <c r="B907" s="7" t="s">
        <v>305</v>
      </c>
    </row>
    <row r="908" spans="2:2" x14ac:dyDescent="0.2">
      <c r="B908" s="7" t="s">
        <v>128</v>
      </c>
    </row>
    <row r="909" spans="2:2" x14ac:dyDescent="0.2">
      <c r="B909" s="7" t="s">
        <v>255</v>
      </c>
    </row>
    <row r="910" spans="2:2" x14ac:dyDescent="0.2">
      <c r="B910" s="7" t="s">
        <v>196</v>
      </c>
    </row>
    <row r="911" spans="2:2" x14ac:dyDescent="0.2">
      <c r="B911" s="7" t="s">
        <v>229</v>
      </c>
    </row>
    <row r="912" spans="2:2" x14ac:dyDescent="0.2">
      <c r="B912" s="7" t="s">
        <v>256</v>
      </c>
    </row>
    <row r="913" spans="2:2" x14ac:dyDescent="0.2">
      <c r="B913" s="7" t="s">
        <v>38</v>
      </c>
    </row>
    <row r="914" spans="2:2" x14ac:dyDescent="0.2">
      <c r="B914" s="7" t="s">
        <v>41</v>
      </c>
    </row>
    <row r="915" spans="2:2" x14ac:dyDescent="0.2">
      <c r="B915" s="7" t="s">
        <v>43</v>
      </c>
    </row>
    <row r="916" spans="2:2" x14ac:dyDescent="0.2">
      <c r="B916" s="7" t="s">
        <v>197</v>
      </c>
    </row>
    <row r="917" spans="2:2" x14ac:dyDescent="0.2">
      <c r="B917" s="7" t="s">
        <v>46</v>
      </c>
    </row>
    <row r="918" spans="2:2" x14ac:dyDescent="0.2">
      <c r="B918" s="7" t="s">
        <v>141</v>
      </c>
    </row>
    <row r="919" spans="2:2" x14ac:dyDescent="0.2">
      <c r="B919" s="7" t="s">
        <v>198</v>
      </c>
    </row>
    <row r="920" spans="2:2" x14ac:dyDescent="0.2">
      <c r="B920" s="7" t="s">
        <v>49</v>
      </c>
    </row>
    <row r="921" spans="2:2" x14ac:dyDescent="0.2">
      <c r="B921" s="7" t="s">
        <v>381</v>
      </c>
    </row>
    <row r="922" spans="2:2" x14ac:dyDescent="0.2">
      <c r="B922" s="7" t="s">
        <v>308</v>
      </c>
    </row>
    <row r="923" spans="2:2" x14ac:dyDescent="0.2">
      <c r="B923" s="7" t="s">
        <v>310</v>
      </c>
    </row>
    <row r="924" spans="2:2" x14ac:dyDescent="0.2">
      <c r="B924" s="7" t="s">
        <v>363</v>
      </c>
    </row>
    <row r="925" spans="2:2" x14ac:dyDescent="0.2">
      <c r="B925" s="7" t="s">
        <v>311</v>
      </c>
    </row>
    <row r="926" spans="2:2" x14ac:dyDescent="0.2">
      <c r="B926" s="7" t="s">
        <v>149</v>
      </c>
    </row>
    <row r="927" spans="2:2" x14ac:dyDescent="0.2">
      <c r="B927" s="7" t="s">
        <v>199</v>
      </c>
    </row>
    <row r="928" spans="2:2" x14ac:dyDescent="0.2">
      <c r="B928" s="7" t="s">
        <v>220</v>
      </c>
    </row>
    <row r="929" spans="2:2" x14ac:dyDescent="0.2">
      <c r="B929" s="7" t="s">
        <v>174</v>
      </c>
    </row>
    <row r="930" spans="2:2" x14ac:dyDescent="0.2">
      <c r="B930" s="7" t="s">
        <v>137</v>
      </c>
    </row>
    <row r="931" spans="2:2" x14ac:dyDescent="0.2">
      <c r="B931" s="7" t="s">
        <v>340</v>
      </c>
    </row>
    <row r="932" spans="2:2" x14ac:dyDescent="0.2">
      <c r="B932" s="7" t="s">
        <v>175</v>
      </c>
    </row>
    <row r="933" spans="2:2" x14ac:dyDescent="0.2">
      <c r="B933" s="7" t="s">
        <v>393</v>
      </c>
    </row>
    <row r="934" spans="2:2" x14ac:dyDescent="0.2">
      <c r="B934" s="7" t="s">
        <v>313</v>
      </c>
    </row>
    <row r="935" spans="2:2" x14ac:dyDescent="0.2">
      <c r="B935" s="7" t="s">
        <v>545</v>
      </c>
    </row>
    <row r="936" spans="2:2" x14ac:dyDescent="0.2">
      <c r="B936" s="7" t="s">
        <v>314</v>
      </c>
    </row>
    <row r="937" spans="2:2" x14ac:dyDescent="0.2">
      <c r="B937" s="7" t="s">
        <v>521</v>
      </c>
    </row>
    <row r="938" spans="2:2" x14ac:dyDescent="0.2">
      <c r="B938" s="7" t="s">
        <v>221</v>
      </c>
    </row>
    <row r="939" spans="2:2" x14ac:dyDescent="0.2">
      <c r="B939" s="7" t="s">
        <v>222</v>
      </c>
    </row>
    <row r="940" spans="2:2" x14ac:dyDescent="0.2">
      <c r="B940" s="7" t="s">
        <v>319</v>
      </c>
    </row>
    <row r="941" spans="2:2" x14ac:dyDescent="0.2">
      <c r="B941" s="7" t="s">
        <v>351</v>
      </c>
    </row>
    <row r="942" spans="2:2" x14ac:dyDescent="0.2">
      <c r="B942" s="7" t="s">
        <v>200</v>
      </c>
    </row>
    <row r="943" spans="2:2" x14ac:dyDescent="0.2">
      <c r="B943" s="7" t="s">
        <v>364</v>
      </c>
    </row>
    <row r="944" spans="2:2" x14ac:dyDescent="0.2">
      <c r="B944" s="7" t="s">
        <v>316</v>
      </c>
    </row>
    <row r="945" spans="2:2" x14ac:dyDescent="0.2">
      <c r="B945" s="7" t="s">
        <v>417</v>
      </c>
    </row>
    <row r="946" spans="2:2" x14ac:dyDescent="0.2">
      <c r="B946" s="7" t="s">
        <v>177</v>
      </c>
    </row>
    <row r="947" spans="2:2" x14ac:dyDescent="0.2">
      <c r="B947" s="7" t="s">
        <v>397</v>
      </c>
    </row>
    <row r="948" spans="2:2" x14ac:dyDescent="0.2">
      <c r="B948" s="7" t="s">
        <v>259</v>
      </c>
    </row>
    <row r="949" spans="2:2" x14ac:dyDescent="0.2">
      <c r="B949" s="7" t="s">
        <v>178</v>
      </c>
    </row>
    <row r="950" spans="2:2" x14ac:dyDescent="0.2">
      <c r="B950" s="7" t="s">
        <v>610</v>
      </c>
    </row>
    <row r="951" spans="2:2" x14ac:dyDescent="0.2">
      <c r="B951" s="7" t="s">
        <v>611</v>
      </c>
    </row>
    <row r="952" spans="2:2" x14ac:dyDescent="0.2">
      <c r="B952" s="7" t="s">
        <v>52</v>
      </c>
    </row>
    <row r="953" spans="2:2" x14ac:dyDescent="0.2">
      <c r="B953" s="7" t="s">
        <v>317</v>
      </c>
    </row>
    <row r="954" spans="2:2" x14ac:dyDescent="0.2">
      <c r="B954" s="7" t="s">
        <v>686</v>
      </c>
    </row>
    <row r="955" spans="2:2" x14ac:dyDescent="0.2">
      <c r="B955" s="7" t="s">
        <v>398</v>
      </c>
    </row>
    <row r="956" spans="2:2" x14ac:dyDescent="0.2">
      <c r="B956" s="7" t="s">
        <v>419</v>
      </c>
    </row>
    <row r="957" spans="2:2" x14ac:dyDescent="0.2">
      <c r="B957" s="7" t="s">
        <v>180</v>
      </c>
    </row>
    <row r="958" spans="2:2" x14ac:dyDescent="0.2">
      <c r="B958" s="7" t="s">
        <v>366</v>
      </c>
    </row>
    <row r="959" spans="2:2" x14ac:dyDescent="0.2">
      <c r="B959" s="7" t="s">
        <v>341</v>
      </c>
    </row>
    <row r="960" spans="2:2" x14ac:dyDescent="0.2">
      <c r="B960" s="7" t="s">
        <v>454</v>
      </c>
    </row>
    <row r="961" spans="2:2" x14ac:dyDescent="0.2">
      <c r="B961" s="7" t="s">
        <v>260</v>
      </c>
    </row>
    <row r="962" spans="2:2" x14ac:dyDescent="0.2">
      <c r="B962" s="7" t="s">
        <v>223</v>
      </c>
    </row>
    <row r="963" spans="2:2" x14ac:dyDescent="0.2">
      <c r="B963" s="7" t="s">
        <v>337</v>
      </c>
    </row>
    <row r="964" spans="2:2" x14ac:dyDescent="0.2">
      <c r="B964" s="7" t="s">
        <v>468</v>
      </c>
    </row>
    <row r="965" spans="2:2" x14ac:dyDescent="0.2">
      <c r="B965" s="7" t="s">
        <v>300</v>
      </c>
    </row>
    <row r="966" spans="2:2" x14ac:dyDescent="0.2">
      <c r="B966" s="7" t="s">
        <v>215</v>
      </c>
    </row>
    <row r="967" spans="2:2" x14ac:dyDescent="0.2">
      <c r="B967" s="7" t="s">
        <v>134</v>
      </c>
    </row>
    <row r="968" spans="2:2" x14ac:dyDescent="0.2">
      <c r="B968" s="7" t="s">
        <v>150</v>
      </c>
    </row>
    <row r="969" spans="2:2" x14ac:dyDescent="0.2">
      <c r="B969" s="7" t="s">
        <v>55</v>
      </c>
    </row>
    <row r="970" spans="2:2" x14ac:dyDescent="0.2">
      <c r="B970" s="7" t="s">
        <v>318</v>
      </c>
    </row>
    <row r="971" spans="2:2" x14ac:dyDescent="0.2">
      <c r="B971" s="7" t="s">
        <v>108</v>
      </c>
    </row>
    <row r="972" spans="2:2" x14ac:dyDescent="0.2">
      <c r="B972" s="7" t="s">
        <v>154</v>
      </c>
    </row>
    <row r="973" spans="2:2" x14ac:dyDescent="0.2">
      <c r="B973" s="7" t="s">
        <v>224</v>
      </c>
    </row>
    <row r="974" spans="2:2" x14ac:dyDescent="0.2">
      <c r="B974" s="7" t="s">
        <v>471</v>
      </c>
    </row>
    <row r="975" spans="2:2" x14ac:dyDescent="0.2">
      <c r="B975" s="7" t="s">
        <v>261</v>
      </c>
    </row>
    <row r="976" spans="2:2" x14ac:dyDescent="0.2">
      <c r="B976" s="7" t="s">
        <v>109</v>
      </c>
    </row>
    <row r="977" spans="2:2" x14ac:dyDescent="0.2">
      <c r="B977" s="7" t="s">
        <v>262</v>
      </c>
    </row>
    <row r="978" spans="2:2" x14ac:dyDescent="0.2">
      <c r="B978" s="7" t="s">
        <v>653</v>
      </c>
    </row>
    <row r="979" spans="2:2" x14ac:dyDescent="0.2">
      <c r="B979" s="7" t="s">
        <v>320</v>
      </c>
    </row>
    <row r="980" spans="2:2" x14ac:dyDescent="0.2">
      <c r="B980" s="7" t="s">
        <v>353</v>
      </c>
    </row>
    <row r="981" spans="2:2" x14ac:dyDescent="0.2">
      <c r="B981" s="7" t="s">
        <v>367</v>
      </c>
    </row>
    <row r="982" spans="2:2" x14ac:dyDescent="0.2">
      <c r="B982" s="7" t="s">
        <v>263</v>
      </c>
    </row>
    <row r="983" spans="2:2" x14ac:dyDescent="0.2">
      <c r="B983" s="7" t="s">
        <v>632</v>
      </c>
    </row>
    <row r="984" spans="2:2" x14ac:dyDescent="0.2">
      <c r="B984" s="7" t="s">
        <v>111</v>
      </c>
    </row>
    <row r="985" spans="2:2" x14ac:dyDescent="0.2">
      <c r="B985" s="7" t="s">
        <v>59</v>
      </c>
    </row>
    <row r="986" spans="2:2" x14ac:dyDescent="0.2">
      <c r="B986" s="7" t="s">
        <v>390</v>
      </c>
    </row>
    <row r="987" spans="2:2" x14ac:dyDescent="0.2">
      <c r="B987" s="7" t="s">
        <v>616</v>
      </c>
    </row>
    <row r="988" spans="2:2" x14ac:dyDescent="0.2">
      <c r="B988" s="7" t="s">
        <v>306</v>
      </c>
    </row>
    <row r="989" spans="2:2" x14ac:dyDescent="0.2">
      <c r="B989" s="7" t="s">
        <v>62</v>
      </c>
    </row>
    <row r="990" spans="2:2" x14ac:dyDescent="0.2">
      <c r="B990" s="7" t="s">
        <v>232</v>
      </c>
    </row>
    <row r="991" spans="2:2" x14ac:dyDescent="0.2">
      <c r="B991" s="7" t="s">
        <v>501</v>
      </c>
    </row>
    <row r="992" spans="2:2" x14ac:dyDescent="0.2">
      <c r="B992" s="7" t="s">
        <v>64</v>
      </c>
    </row>
    <row r="993" spans="2:2" x14ac:dyDescent="0.2">
      <c r="B993" s="7" t="s">
        <v>282</v>
      </c>
    </row>
    <row r="994" spans="2:2" x14ac:dyDescent="0.2">
      <c r="B994" s="7" t="s">
        <v>321</v>
      </c>
    </row>
    <row r="995" spans="2:2" x14ac:dyDescent="0.2">
      <c r="B995" s="7" t="s">
        <v>112</v>
      </c>
    </row>
    <row r="996" spans="2:2" x14ac:dyDescent="0.2">
      <c r="B996" s="7" t="s">
        <v>264</v>
      </c>
    </row>
    <row r="997" spans="2:2" x14ac:dyDescent="0.2">
      <c r="B997" s="7" t="s">
        <v>67</v>
      </c>
    </row>
    <row r="998" spans="2:2" x14ac:dyDescent="0.2">
      <c r="B998" s="7" t="s">
        <v>201</v>
      </c>
    </row>
    <row r="999" spans="2:2" x14ac:dyDescent="0.2">
      <c r="B999" s="7" t="s">
        <v>343</v>
      </c>
    </row>
    <row r="1000" spans="2:2" x14ac:dyDescent="0.2">
      <c r="B1000" s="7" t="s">
        <v>323</v>
      </c>
    </row>
    <row r="1001" spans="2:2" x14ac:dyDescent="0.2">
      <c r="B1001" s="7" t="s">
        <v>527</v>
      </c>
    </row>
    <row r="1002" spans="2:2" x14ac:dyDescent="0.2">
      <c r="B1002" s="7" t="s">
        <v>70</v>
      </c>
    </row>
    <row r="1003" spans="2:2" x14ac:dyDescent="0.2">
      <c r="B1003" s="7" t="s">
        <v>72</v>
      </c>
    </row>
    <row r="1004" spans="2:2" x14ac:dyDescent="0.2">
      <c r="B1004" s="7" t="s">
        <v>114</v>
      </c>
    </row>
    <row r="1005" spans="2:2" x14ac:dyDescent="0.2">
      <c r="B1005" s="7" t="s">
        <v>265</v>
      </c>
    </row>
    <row r="1006" spans="2:2" x14ac:dyDescent="0.2">
      <c r="B1006" s="7" t="s">
        <v>225</v>
      </c>
    </row>
    <row r="1007" spans="2:2" x14ac:dyDescent="0.2">
      <c r="B1007" s="7" t="s">
        <v>158</v>
      </c>
    </row>
    <row r="1008" spans="2:2" x14ac:dyDescent="0.2">
      <c r="B1008" s="7" t="s">
        <v>400</v>
      </c>
    </row>
    <row r="1009" spans="2:2" x14ac:dyDescent="0.2">
      <c r="B1009" s="7" t="s">
        <v>226</v>
      </c>
    </row>
    <row r="1010" spans="2:2" x14ac:dyDescent="0.2">
      <c r="B1010" s="7" t="s">
        <v>266</v>
      </c>
    </row>
    <row r="1011" spans="2:2" x14ac:dyDescent="0.2">
      <c r="B1011" s="7" t="s">
        <v>267</v>
      </c>
    </row>
    <row r="1012" spans="2:2" x14ac:dyDescent="0.2">
      <c r="B1012" s="7" t="s">
        <v>75</v>
      </c>
    </row>
    <row r="1013" spans="2:2" x14ac:dyDescent="0.2">
      <c r="B1013" s="7" t="s">
        <v>268</v>
      </c>
    </row>
    <row r="1014" spans="2:2" x14ac:dyDescent="0.2">
      <c r="B1014" s="7" t="s">
        <v>78</v>
      </c>
    </row>
    <row r="1015" spans="2:2" x14ac:dyDescent="0.2">
      <c r="B1015" s="7" t="s">
        <v>529</v>
      </c>
    </row>
    <row r="1016" spans="2:2" x14ac:dyDescent="0.2">
      <c r="B1016" s="7" t="s">
        <v>81</v>
      </c>
    </row>
    <row r="1017" spans="2:2" x14ac:dyDescent="0.2">
      <c r="B1017" s="7" t="s">
        <v>375</v>
      </c>
    </row>
    <row r="1018" spans="2:2" x14ac:dyDescent="0.2">
      <c r="B1018" s="7" t="s">
        <v>391</v>
      </c>
    </row>
    <row r="1019" spans="2:2" x14ac:dyDescent="0.2">
      <c r="B1019" s="7" t="s">
        <v>116</v>
      </c>
    </row>
    <row r="1020" spans="2:2" x14ac:dyDescent="0.2">
      <c r="B1020" s="7" t="s">
        <v>344</v>
      </c>
    </row>
    <row r="1021" spans="2:2" x14ac:dyDescent="0.2">
      <c r="B1021" s="7" t="s">
        <v>85</v>
      </c>
    </row>
    <row r="1022" spans="2:2" x14ac:dyDescent="0.2">
      <c r="B1022" s="7" t="s">
        <v>83</v>
      </c>
    </row>
    <row r="1023" spans="2:2" x14ac:dyDescent="0.2">
      <c r="B1023" s="7" t="s">
        <v>84</v>
      </c>
    </row>
    <row r="1024" spans="2:2" x14ac:dyDescent="0.2">
      <c r="B1024" s="7" t="s">
        <v>86</v>
      </c>
    </row>
    <row r="1025" spans="2:2" x14ac:dyDescent="0.2">
      <c r="B1025" s="7" t="s">
        <v>87</v>
      </c>
    </row>
    <row r="1026" spans="2:2" x14ac:dyDescent="0.2">
      <c r="B1026" s="7" t="s">
        <v>88</v>
      </c>
    </row>
    <row r="1027" spans="2:2" x14ac:dyDescent="0.2">
      <c r="B1027" s="7" t="s">
        <v>89</v>
      </c>
    </row>
    <row r="1028" spans="2:2" x14ac:dyDescent="0.2">
      <c r="B1028" s="7" t="s">
        <v>90</v>
      </c>
    </row>
    <row r="1029" spans="2:2" x14ac:dyDescent="0.2">
      <c r="B1029" s="7" t="s">
        <v>91</v>
      </c>
    </row>
    <row r="1030" spans="2:2" x14ac:dyDescent="0.2">
      <c r="B1030" s="7" t="s">
        <v>160</v>
      </c>
    </row>
    <row r="1031" spans="2:2" x14ac:dyDescent="0.2">
      <c r="B1031" s="7" t="s">
        <v>92</v>
      </c>
    </row>
    <row r="1032" spans="2:2" x14ac:dyDescent="0.2">
      <c r="B1032" s="7" t="s">
        <v>117</v>
      </c>
    </row>
    <row r="1033" spans="2:2" x14ac:dyDescent="0.2">
      <c r="B1033" s="7" t="s">
        <v>94</v>
      </c>
    </row>
    <row r="1034" spans="2:2" x14ac:dyDescent="0.2">
      <c r="B1034" s="7" t="s">
        <v>202</v>
      </c>
    </row>
    <row r="1035" spans="2:2" x14ac:dyDescent="0.2">
      <c r="B1035" s="7" t="s">
        <v>118</v>
      </c>
    </row>
    <row r="1036" spans="2:2" x14ac:dyDescent="0.2">
      <c r="B1036" s="7" t="s">
        <v>534</v>
      </c>
    </row>
    <row r="1037" spans="2:2" x14ac:dyDescent="0.2">
      <c r="B1037" s="7" t="s">
        <v>269</v>
      </c>
    </row>
    <row r="1038" spans="2:2" x14ac:dyDescent="0.2">
      <c r="B1038" s="7" t="s">
        <v>161</v>
      </c>
    </row>
    <row r="1039" spans="2:2" x14ac:dyDescent="0.2">
      <c r="B1039" s="7" t="s">
        <v>326</v>
      </c>
    </row>
    <row r="1040" spans="2:2" x14ac:dyDescent="0.2">
      <c r="B1040" s="7" t="s">
        <v>227</v>
      </c>
    </row>
    <row r="1041" spans="2:2" x14ac:dyDescent="0.2">
      <c r="B1041" s="7" t="s">
        <v>270</v>
      </c>
    </row>
    <row r="1042" spans="2:2" x14ac:dyDescent="0.2">
      <c r="B1042" s="7" t="s">
        <v>660</v>
      </c>
    </row>
    <row r="1043" spans="2:2" x14ac:dyDescent="0.2">
      <c r="B1043" s="7" t="s">
        <v>271</v>
      </c>
    </row>
    <row r="1044" spans="2:2" x14ac:dyDescent="0.2">
      <c r="B1044" s="7" t="s">
        <v>355</v>
      </c>
    </row>
    <row r="1045" spans="2:2" x14ac:dyDescent="0.2">
      <c r="B1045" s="7" t="s">
        <v>327</v>
      </c>
    </row>
    <row r="1046" spans="2:2" x14ac:dyDescent="0.2">
      <c r="B1046" s="7" t="s">
        <v>95</v>
      </c>
    </row>
    <row r="1047" spans="2:2" x14ac:dyDescent="0.2">
      <c r="B1047" s="7" t="s">
        <v>382</v>
      </c>
    </row>
    <row r="1048" spans="2:2" x14ac:dyDescent="0.2">
      <c r="B1048" s="7" t="s">
        <v>162</v>
      </c>
    </row>
    <row r="1049" spans="2:2" x14ac:dyDescent="0.2">
      <c r="B1049" s="7" t="s">
        <v>383</v>
      </c>
    </row>
    <row r="1050" spans="2:2" x14ac:dyDescent="0.2">
      <c r="B1050" s="7" t="s">
        <v>272</v>
      </c>
    </row>
    <row r="1051" spans="2:2" x14ac:dyDescent="0.2">
      <c r="B1051" s="7" t="s">
        <v>245</v>
      </c>
    </row>
    <row r="1052" spans="2:2" x14ac:dyDescent="0.2">
      <c r="B1052" s="7" t="s">
        <v>203</v>
      </c>
    </row>
    <row r="1053" spans="2:2" x14ac:dyDescent="0.2">
      <c r="B1053" s="7" t="s">
        <v>384</v>
      </c>
    </row>
    <row r="1054" spans="2:2" x14ac:dyDescent="0.2">
      <c r="B1054" s="7" t="s">
        <v>376</v>
      </c>
    </row>
    <row r="1055" spans="2:2" x14ac:dyDescent="0.2">
      <c r="B1055" s="7" t="s">
        <v>368</v>
      </c>
    </row>
    <row r="1056" spans="2:2" x14ac:dyDescent="0.2">
      <c r="B1056" s="7" t="s">
        <v>537</v>
      </c>
    </row>
    <row r="1057" spans="2:2" x14ac:dyDescent="0.2">
      <c r="B1057" s="7" t="s">
        <v>273</v>
      </c>
    </row>
    <row r="1058" spans="2:2" x14ac:dyDescent="0.2">
      <c r="B1058" s="7" t="s">
        <v>539</v>
      </c>
    </row>
    <row r="1059" spans="2:2" x14ac:dyDescent="0.2">
      <c r="B1059" s="7" t="s">
        <v>97</v>
      </c>
    </row>
    <row r="1060" spans="2:2" x14ac:dyDescent="0.2">
      <c r="B1060" s="7" t="s">
        <v>328</v>
      </c>
    </row>
    <row r="1061" spans="2:2" x14ac:dyDescent="0.2">
      <c r="B1061" s="7" t="s">
        <v>163</v>
      </c>
    </row>
    <row r="1062" spans="2:2" x14ac:dyDescent="0.2">
      <c r="B1062" s="7" t="s">
        <v>330</v>
      </c>
    </row>
    <row r="1063" spans="2:2" x14ac:dyDescent="0.2">
      <c r="B1063" s="7" t="s">
        <v>208</v>
      </c>
    </row>
    <row r="1064" spans="2:2" x14ac:dyDescent="0.2">
      <c r="B1064" s="7" t="s">
        <v>228</v>
      </c>
    </row>
    <row r="1065" spans="2:2" x14ac:dyDescent="0.2">
      <c r="B1065" s="7" t="s">
        <v>331</v>
      </c>
    </row>
    <row r="1066" spans="2:2" x14ac:dyDescent="0.2">
      <c r="B1066" s="7" t="s">
        <v>669</v>
      </c>
    </row>
    <row r="1067" spans="2:2" x14ac:dyDescent="0.2">
      <c r="B1067" s="7" t="s">
        <v>649</v>
      </c>
    </row>
    <row r="1068" spans="2:2" x14ac:dyDescent="0.2">
      <c r="B1068" s="7" t="s">
        <v>277</v>
      </c>
    </row>
    <row r="1069" spans="2:2" x14ac:dyDescent="0.2">
      <c r="B1069" s="7" t="s">
        <v>98</v>
      </c>
    </row>
    <row r="1070" spans="2:2" x14ac:dyDescent="0.2">
      <c r="B1070" s="7" t="s">
        <v>99</v>
      </c>
    </row>
    <row r="1071" spans="2:2" x14ac:dyDescent="0.2">
      <c r="B1071" s="7" t="s">
        <v>100</v>
      </c>
    </row>
    <row r="1072" spans="2:2" x14ac:dyDescent="0.2">
      <c r="B1072" s="7" t="s">
        <v>595</v>
      </c>
    </row>
    <row r="1073" spans="2:2" x14ac:dyDescent="0.2">
      <c r="B1073" s="7" t="s">
        <v>230</v>
      </c>
    </row>
    <row r="1074" spans="2:2" x14ac:dyDescent="0.2">
      <c r="B1074" s="7" t="s">
        <v>333</v>
      </c>
    </row>
    <row r="1075" spans="2:2" x14ac:dyDescent="0.2">
      <c r="B1075" s="7" t="s">
        <v>508</v>
      </c>
    </row>
    <row r="1076" spans="2:2" x14ac:dyDescent="0.2">
      <c r="B1076" s="7" t="s">
        <v>370</v>
      </c>
    </row>
    <row r="1077" spans="2:2" x14ac:dyDescent="0.2">
      <c r="B1077" s="7" t="s">
        <v>119</v>
      </c>
    </row>
    <row r="1078" spans="2:2" x14ac:dyDescent="0.2">
      <c r="B1078" s="7" t="s">
        <v>275</v>
      </c>
    </row>
    <row r="1079" spans="2:2" x14ac:dyDescent="0.2">
      <c r="B1079" s="7" t="s">
        <v>101</v>
      </c>
    </row>
    <row r="1080" spans="2:2" x14ac:dyDescent="0.2">
      <c r="B1080" s="7" t="s">
        <v>530</v>
      </c>
    </row>
    <row r="1081" spans="2:2" x14ac:dyDescent="0.2">
      <c r="B1081" s="7" t="s">
        <v>120</v>
      </c>
    </row>
    <row r="1082" spans="2:2" x14ac:dyDescent="0.2">
      <c r="B1082" s="7" t="s">
        <v>334</v>
      </c>
    </row>
    <row r="1083" spans="2:2" x14ac:dyDescent="0.2">
      <c r="B1083" s="7" t="s">
        <v>231</v>
      </c>
    </row>
    <row r="1084" spans="2:2" x14ac:dyDescent="0.2">
      <c r="B1084" s="7" t="s">
        <v>181</v>
      </c>
    </row>
    <row r="1085" spans="2:2" x14ac:dyDescent="0.2">
      <c r="B1085" s="7" t="s">
        <v>204</v>
      </c>
    </row>
    <row r="1086" spans="2:2" x14ac:dyDescent="0.2">
      <c r="B1086" s="7" t="s">
        <v>145</v>
      </c>
    </row>
    <row r="1087" spans="2:2" x14ac:dyDescent="0.2">
      <c r="B1087" s="7" t="s">
        <v>276</v>
      </c>
    </row>
    <row r="1088" spans="2:2" x14ac:dyDescent="0.2">
      <c r="B1088" s="7" t="s">
        <v>102</v>
      </c>
    </row>
    <row r="1089" spans="1:2" x14ac:dyDescent="0.2">
      <c r="B1089" s="7" t="s">
        <v>405</v>
      </c>
    </row>
    <row r="1090" spans="1:2" x14ac:dyDescent="0.2">
      <c r="B1090" s="7" t="s">
        <v>346</v>
      </c>
    </row>
    <row r="1091" spans="1:2" x14ac:dyDescent="0.2">
      <c r="B1091" s="7" t="s">
        <v>182</v>
      </c>
    </row>
    <row r="1092" spans="1:2" x14ac:dyDescent="0.2">
      <c r="B1092" s="7" t="s">
        <v>131</v>
      </c>
    </row>
    <row r="1093" spans="1:2" x14ac:dyDescent="0.2">
      <c r="B1093" s="7" t="s">
        <v>613</v>
      </c>
    </row>
    <row r="1094" spans="1:2" x14ac:dyDescent="0.2">
      <c r="B1094" s="7" t="s">
        <v>122</v>
      </c>
    </row>
    <row r="1095" spans="1:2" x14ac:dyDescent="0.2">
      <c r="A1095" s="7" t="s">
        <v>168</v>
      </c>
      <c r="B1095" s="7" t="s">
        <v>614</v>
      </c>
    </row>
    <row r="1096" spans="1:2" x14ac:dyDescent="0.2">
      <c r="B1096" s="7" t="s">
        <v>233</v>
      </c>
    </row>
    <row r="1097" spans="1:2" x14ac:dyDescent="0.2">
      <c r="B1097" s="7" t="s">
        <v>8</v>
      </c>
    </row>
    <row r="1098" spans="1:2" x14ac:dyDescent="0.2">
      <c r="B1098" s="7" t="s">
        <v>183</v>
      </c>
    </row>
    <row r="1099" spans="1:2" x14ac:dyDescent="0.2">
      <c r="B1099" s="7" t="s">
        <v>281</v>
      </c>
    </row>
    <row r="1100" spans="1:2" x14ac:dyDescent="0.2">
      <c r="B1100" s="7" t="s">
        <v>10</v>
      </c>
    </row>
    <row r="1101" spans="1:2" x14ac:dyDescent="0.2">
      <c r="B1101" s="7" t="s">
        <v>283</v>
      </c>
    </row>
    <row r="1102" spans="1:2" x14ac:dyDescent="0.2">
      <c r="B1102" s="7" t="s">
        <v>359</v>
      </c>
    </row>
    <row r="1103" spans="1:2" x14ac:dyDescent="0.2">
      <c r="B1103" s="7" t="s">
        <v>186</v>
      </c>
    </row>
    <row r="1104" spans="1:2" x14ac:dyDescent="0.2">
      <c r="B1104" s="7" t="s">
        <v>187</v>
      </c>
    </row>
    <row r="1105" spans="2:2" x14ac:dyDescent="0.2">
      <c r="B1105" s="7" t="s">
        <v>646</v>
      </c>
    </row>
    <row r="1106" spans="2:2" x14ac:dyDescent="0.2">
      <c r="B1106" s="7" t="s">
        <v>127</v>
      </c>
    </row>
    <row r="1107" spans="2:2" x14ac:dyDescent="0.2">
      <c r="B1107" s="7" t="s">
        <v>209</v>
      </c>
    </row>
    <row r="1108" spans="2:2" x14ac:dyDescent="0.2">
      <c r="B1108" s="7" t="s">
        <v>671</v>
      </c>
    </row>
    <row r="1109" spans="2:2" x14ac:dyDescent="0.2">
      <c r="B1109" s="7" t="s">
        <v>284</v>
      </c>
    </row>
    <row r="1110" spans="2:2" x14ac:dyDescent="0.2">
      <c r="B1110" s="7" t="s">
        <v>188</v>
      </c>
    </row>
    <row r="1111" spans="2:2" x14ac:dyDescent="0.2">
      <c r="B1111" s="7" t="s">
        <v>285</v>
      </c>
    </row>
    <row r="1112" spans="2:2" x14ac:dyDescent="0.2">
      <c r="B1112" s="7" t="s">
        <v>410</v>
      </c>
    </row>
    <row r="1113" spans="2:2" x14ac:dyDescent="0.2">
      <c r="B1113" s="7" t="s">
        <v>164</v>
      </c>
    </row>
    <row r="1114" spans="2:2" x14ac:dyDescent="0.2">
      <c r="B1114" s="7" t="s">
        <v>189</v>
      </c>
    </row>
    <row r="1115" spans="2:2" x14ac:dyDescent="0.2">
      <c r="B1115" s="7" t="s">
        <v>210</v>
      </c>
    </row>
    <row r="1116" spans="2:2" x14ac:dyDescent="0.2">
      <c r="B1116" s="7" t="s">
        <v>129</v>
      </c>
    </row>
    <row r="1117" spans="2:2" x14ac:dyDescent="0.2">
      <c r="B1117" s="7" t="s">
        <v>287</v>
      </c>
    </row>
    <row r="1118" spans="2:2" x14ac:dyDescent="0.2">
      <c r="B1118" s="7" t="s">
        <v>12</v>
      </c>
    </row>
    <row r="1119" spans="2:2" x14ac:dyDescent="0.2">
      <c r="B1119" s="7" t="s">
        <v>484</v>
      </c>
    </row>
    <row r="1120" spans="2:2" x14ac:dyDescent="0.2">
      <c r="B1120" s="7" t="s">
        <v>190</v>
      </c>
    </row>
    <row r="1121" spans="2:2" x14ac:dyDescent="0.2">
      <c r="B1121" s="7" t="s">
        <v>658</v>
      </c>
    </row>
    <row r="1122" spans="2:2" x14ac:dyDescent="0.2">
      <c r="B1122" s="7" t="s">
        <v>288</v>
      </c>
    </row>
    <row r="1123" spans="2:2" x14ac:dyDescent="0.2">
      <c r="B1123" s="7" t="s">
        <v>13</v>
      </c>
    </row>
    <row r="1124" spans="2:2" x14ac:dyDescent="0.2">
      <c r="B1124" s="7" t="s">
        <v>289</v>
      </c>
    </row>
    <row r="1125" spans="2:2" x14ac:dyDescent="0.2">
      <c r="B1125" s="7" t="s">
        <v>14</v>
      </c>
    </row>
    <row r="1126" spans="2:2" x14ac:dyDescent="0.2">
      <c r="B1126" s="7" t="s">
        <v>106</v>
      </c>
    </row>
    <row r="1127" spans="2:2" x14ac:dyDescent="0.2">
      <c r="B1127" s="7" t="s">
        <v>486</v>
      </c>
    </row>
    <row r="1128" spans="2:2" x14ac:dyDescent="0.2">
      <c r="B1128" s="7" t="s">
        <v>291</v>
      </c>
    </row>
    <row r="1129" spans="2:2" x14ac:dyDescent="0.2">
      <c r="B1129" s="7" t="s">
        <v>211</v>
      </c>
    </row>
    <row r="1130" spans="2:2" x14ac:dyDescent="0.2">
      <c r="B1130" s="7" t="s">
        <v>431</v>
      </c>
    </row>
    <row r="1131" spans="2:2" x14ac:dyDescent="0.2">
      <c r="B1131" s="7" t="s">
        <v>238</v>
      </c>
    </row>
    <row r="1132" spans="2:2" x14ac:dyDescent="0.2">
      <c r="B1132" s="7" t="s">
        <v>292</v>
      </c>
    </row>
    <row r="1133" spans="2:2" x14ac:dyDescent="0.2">
      <c r="B1133" s="7" t="s">
        <v>293</v>
      </c>
    </row>
    <row r="1134" spans="2:2" x14ac:dyDescent="0.2">
      <c r="B1134" s="7" t="s">
        <v>212</v>
      </c>
    </row>
    <row r="1135" spans="2:2" x14ac:dyDescent="0.2">
      <c r="B1135" s="7" t="s">
        <v>294</v>
      </c>
    </row>
    <row r="1136" spans="2:2" x14ac:dyDescent="0.2">
      <c r="B1136" s="7" t="s">
        <v>295</v>
      </c>
    </row>
    <row r="1137" spans="2:2" x14ac:dyDescent="0.2">
      <c r="B1137" s="7" t="s">
        <v>296</v>
      </c>
    </row>
    <row r="1138" spans="2:2" x14ac:dyDescent="0.2">
      <c r="B1138" s="7" t="s">
        <v>16</v>
      </c>
    </row>
    <row r="1139" spans="2:2" x14ac:dyDescent="0.2">
      <c r="B1139" s="7" t="s">
        <v>464</v>
      </c>
    </row>
    <row r="1140" spans="2:2" x14ac:dyDescent="0.2">
      <c r="B1140" s="7" t="s">
        <v>378</v>
      </c>
    </row>
    <row r="1141" spans="2:2" x14ac:dyDescent="0.2">
      <c r="B1141" s="7" t="s">
        <v>18</v>
      </c>
    </row>
    <row r="1142" spans="2:2" x14ac:dyDescent="0.2">
      <c r="B1142" s="7" t="s">
        <v>20</v>
      </c>
    </row>
    <row r="1143" spans="2:2" x14ac:dyDescent="0.2">
      <c r="B1143" s="7" t="s">
        <v>169</v>
      </c>
    </row>
    <row r="1144" spans="2:2" x14ac:dyDescent="0.2">
      <c r="B1144" s="7" t="s">
        <v>138</v>
      </c>
    </row>
    <row r="1145" spans="2:2" x14ac:dyDescent="0.2">
      <c r="B1145" s="7" t="s">
        <v>676</v>
      </c>
    </row>
    <row r="1146" spans="2:2" x14ac:dyDescent="0.2">
      <c r="B1146" s="7" t="s">
        <v>214</v>
      </c>
    </row>
    <row r="1147" spans="2:2" x14ac:dyDescent="0.2">
      <c r="B1147" s="7" t="s">
        <v>513</v>
      </c>
    </row>
    <row r="1148" spans="2:2" x14ac:dyDescent="0.2">
      <c r="B1148" s="7" t="s">
        <v>22</v>
      </c>
    </row>
    <row r="1149" spans="2:2" x14ac:dyDescent="0.2">
      <c r="B1149" s="7" t="s">
        <v>297</v>
      </c>
    </row>
    <row r="1150" spans="2:2" x14ac:dyDescent="0.2">
      <c r="B1150" s="7" t="s">
        <v>170</v>
      </c>
    </row>
    <row r="1151" spans="2:2" x14ac:dyDescent="0.2">
      <c r="B1151" s="7" t="s">
        <v>25</v>
      </c>
    </row>
    <row r="1152" spans="2:2" x14ac:dyDescent="0.2">
      <c r="B1152" s="7" t="s">
        <v>242</v>
      </c>
    </row>
    <row r="1153" spans="2:2" x14ac:dyDescent="0.2">
      <c r="B1153" s="7" t="s">
        <v>533</v>
      </c>
    </row>
    <row r="1154" spans="2:2" x14ac:dyDescent="0.2">
      <c r="B1154" s="7" t="s">
        <v>135</v>
      </c>
    </row>
    <row r="1155" spans="2:2" x14ac:dyDescent="0.2">
      <c r="B1155" s="7" t="s">
        <v>298</v>
      </c>
    </row>
    <row r="1156" spans="2:2" x14ac:dyDescent="0.2">
      <c r="B1156" s="7" t="s">
        <v>243</v>
      </c>
    </row>
    <row r="1157" spans="2:2" x14ac:dyDescent="0.2">
      <c r="B1157" s="7" t="s">
        <v>216</v>
      </c>
    </row>
    <row r="1158" spans="2:2" x14ac:dyDescent="0.2">
      <c r="B1158" s="7" t="s">
        <v>240</v>
      </c>
    </row>
    <row r="1159" spans="2:2" x14ac:dyDescent="0.2">
      <c r="B1159" s="7" t="s">
        <v>172</v>
      </c>
    </row>
    <row r="1160" spans="2:2" x14ac:dyDescent="0.2">
      <c r="B1160" s="7" t="s">
        <v>27</v>
      </c>
    </row>
    <row r="1161" spans="2:2" x14ac:dyDescent="0.2">
      <c r="B1161" s="7" t="s">
        <v>663</v>
      </c>
    </row>
    <row r="1162" spans="2:2" x14ac:dyDescent="0.2">
      <c r="B1162" s="7" t="s">
        <v>246</v>
      </c>
    </row>
    <row r="1163" spans="2:2" x14ac:dyDescent="0.2">
      <c r="B1163" s="7" t="s">
        <v>541</v>
      </c>
    </row>
    <row r="1164" spans="2:2" x14ac:dyDescent="0.2">
      <c r="B1164" s="7" t="s">
        <v>516</v>
      </c>
    </row>
    <row r="1165" spans="2:2" x14ac:dyDescent="0.2">
      <c r="B1165" s="7" t="s">
        <v>249</v>
      </c>
    </row>
    <row r="1166" spans="2:2" x14ac:dyDescent="0.2">
      <c r="B1166" s="7" t="s">
        <v>193</v>
      </c>
    </row>
    <row r="1167" spans="2:2" x14ac:dyDescent="0.2">
      <c r="B1167" s="7" t="s">
        <v>31</v>
      </c>
    </row>
    <row r="1168" spans="2:2" x14ac:dyDescent="0.2">
      <c r="B1168" s="7" t="s">
        <v>564</v>
      </c>
    </row>
    <row r="1169" spans="2:2" x14ac:dyDescent="0.2">
      <c r="B1169" s="7" t="s">
        <v>449</v>
      </c>
    </row>
    <row r="1170" spans="2:2" x14ac:dyDescent="0.2">
      <c r="B1170" s="7" t="s">
        <v>301</v>
      </c>
    </row>
    <row r="1171" spans="2:2" x14ac:dyDescent="0.2">
      <c r="B1171" s="7" t="s">
        <v>302</v>
      </c>
    </row>
    <row r="1172" spans="2:2" x14ac:dyDescent="0.2">
      <c r="B1172" s="7" t="s">
        <v>350</v>
      </c>
    </row>
    <row r="1173" spans="2:2" x14ac:dyDescent="0.2">
      <c r="B1173" s="7" t="s">
        <v>33</v>
      </c>
    </row>
    <row r="1174" spans="2:2" x14ac:dyDescent="0.2">
      <c r="B1174" s="7" t="s">
        <v>253</v>
      </c>
    </row>
    <row r="1175" spans="2:2" x14ac:dyDescent="0.2">
      <c r="B1175" s="7" t="s">
        <v>655</v>
      </c>
    </row>
    <row r="1176" spans="2:2" x14ac:dyDescent="0.2">
      <c r="B1176" s="7" t="s">
        <v>667</v>
      </c>
    </row>
    <row r="1177" spans="2:2" x14ac:dyDescent="0.2">
      <c r="B1177" s="7" t="s">
        <v>194</v>
      </c>
    </row>
    <row r="1178" spans="2:2" x14ac:dyDescent="0.2">
      <c r="B1178" s="7" t="s">
        <v>195</v>
      </c>
    </row>
    <row r="1179" spans="2:2" x14ac:dyDescent="0.2">
      <c r="B1179" s="7" t="s">
        <v>36</v>
      </c>
    </row>
    <row r="1180" spans="2:2" x14ac:dyDescent="0.2">
      <c r="B1180" s="7" t="s">
        <v>379</v>
      </c>
    </row>
    <row r="1181" spans="2:2" x14ac:dyDescent="0.2">
      <c r="B1181" s="7" t="s">
        <v>451</v>
      </c>
    </row>
    <row r="1182" spans="2:2" x14ac:dyDescent="0.2">
      <c r="B1182" s="7" t="s">
        <v>303</v>
      </c>
    </row>
    <row r="1183" spans="2:2" x14ac:dyDescent="0.2">
      <c r="B1183" s="7" t="s">
        <v>254</v>
      </c>
    </row>
    <row r="1184" spans="2:2" x14ac:dyDescent="0.2">
      <c r="B1184" s="7" t="s">
        <v>542</v>
      </c>
    </row>
    <row r="1185" spans="2:2" x14ac:dyDescent="0.2">
      <c r="B1185" s="7" t="s">
        <v>219</v>
      </c>
    </row>
    <row r="1186" spans="2:2" x14ac:dyDescent="0.2">
      <c r="B1186" s="7" t="s">
        <v>380</v>
      </c>
    </row>
    <row r="1187" spans="2:2" x14ac:dyDescent="0.2">
      <c r="B1187" s="7" t="s">
        <v>304</v>
      </c>
    </row>
    <row r="1188" spans="2:2" x14ac:dyDescent="0.2">
      <c r="B1188" s="7" t="s">
        <v>128</v>
      </c>
    </row>
    <row r="1189" spans="2:2" x14ac:dyDescent="0.2">
      <c r="B1189" s="7" t="s">
        <v>256</v>
      </c>
    </row>
    <row r="1190" spans="2:2" x14ac:dyDescent="0.2">
      <c r="B1190" s="7" t="s">
        <v>38</v>
      </c>
    </row>
    <row r="1191" spans="2:2" x14ac:dyDescent="0.2">
      <c r="B1191" s="7" t="s">
        <v>41</v>
      </c>
    </row>
    <row r="1192" spans="2:2" x14ac:dyDescent="0.2">
      <c r="B1192" s="7" t="s">
        <v>43</v>
      </c>
    </row>
    <row r="1193" spans="2:2" x14ac:dyDescent="0.2">
      <c r="B1193" s="7" t="s">
        <v>46</v>
      </c>
    </row>
    <row r="1194" spans="2:2" x14ac:dyDescent="0.2">
      <c r="B1194" s="7" t="s">
        <v>141</v>
      </c>
    </row>
    <row r="1195" spans="2:2" x14ac:dyDescent="0.2">
      <c r="B1195" s="7" t="s">
        <v>198</v>
      </c>
    </row>
    <row r="1196" spans="2:2" x14ac:dyDescent="0.2">
      <c r="B1196" s="7" t="s">
        <v>49</v>
      </c>
    </row>
    <row r="1197" spans="2:2" x14ac:dyDescent="0.2">
      <c r="B1197" s="7" t="s">
        <v>381</v>
      </c>
    </row>
    <row r="1198" spans="2:2" x14ac:dyDescent="0.2">
      <c r="B1198" s="7" t="s">
        <v>308</v>
      </c>
    </row>
    <row r="1199" spans="2:2" x14ac:dyDescent="0.2">
      <c r="B1199" s="7" t="s">
        <v>310</v>
      </c>
    </row>
    <row r="1200" spans="2:2" x14ac:dyDescent="0.2">
      <c r="B1200" s="7" t="s">
        <v>311</v>
      </c>
    </row>
    <row r="1201" spans="2:2" x14ac:dyDescent="0.2">
      <c r="B1201" s="7" t="s">
        <v>174</v>
      </c>
    </row>
    <row r="1202" spans="2:2" x14ac:dyDescent="0.2">
      <c r="B1202" s="7" t="s">
        <v>137</v>
      </c>
    </row>
    <row r="1203" spans="2:2" x14ac:dyDescent="0.2">
      <c r="B1203" s="7" t="s">
        <v>340</v>
      </c>
    </row>
    <row r="1204" spans="2:2" x14ac:dyDescent="0.2">
      <c r="B1204" s="7" t="s">
        <v>175</v>
      </c>
    </row>
    <row r="1205" spans="2:2" x14ac:dyDescent="0.2">
      <c r="B1205" s="7" t="s">
        <v>313</v>
      </c>
    </row>
    <row r="1206" spans="2:2" x14ac:dyDescent="0.2">
      <c r="B1206" s="7" t="s">
        <v>314</v>
      </c>
    </row>
    <row r="1207" spans="2:2" x14ac:dyDescent="0.2">
      <c r="B1207" s="7" t="s">
        <v>221</v>
      </c>
    </row>
    <row r="1208" spans="2:2" x14ac:dyDescent="0.2">
      <c r="B1208" s="7" t="s">
        <v>351</v>
      </c>
    </row>
    <row r="1209" spans="2:2" x14ac:dyDescent="0.2">
      <c r="B1209" s="7" t="s">
        <v>316</v>
      </c>
    </row>
    <row r="1210" spans="2:2" x14ac:dyDescent="0.2">
      <c r="B1210" s="7" t="s">
        <v>417</v>
      </c>
    </row>
    <row r="1211" spans="2:2" x14ac:dyDescent="0.2">
      <c r="B1211" s="7" t="s">
        <v>177</v>
      </c>
    </row>
    <row r="1212" spans="2:2" x14ac:dyDescent="0.2">
      <c r="B1212" s="7" t="s">
        <v>178</v>
      </c>
    </row>
    <row r="1213" spans="2:2" x14ac:dyDescent="0.2">
      <c r="B1213" s="7" t="s">
        <v>610</v>
      </c>
    </row>
    <row r="1214" spans="2:2" x14ac:dyDescent="0.2">
      <c r="B1214" s="7" t="s">
        <v>611</v>
      </c>
    </row>
    <row r="1215" spans="2:2" x14ac:dyDescent="0.2">
      <c r="B1215" s="7" t="s">
        <v>52</v>
      </c>
    </row>
    <row r="1216" spans="2:2" x14ac:dyDescent="0.2">
      <c r="B1216" s="7" t="s">
        <v>317</v>
      </c>
    </row>
    <row r="1217" spans="2:2" x14ac:dyDescent="0.2">
      <c r="B1217" s="7" t="s">
        <v>398</v>
      </c>
    </row>
    <row r="1218" spans="2:2" x14ac:dyDescent="0.2">
      <c r="B1218" s="7" t="s">
        <v>419</v>
      </c>
    </row>
    <row r="1219" spans="2:2" x14ac:dyDescent="0.2">
      <c r="B1219" s="7" t="s">
        <v>180</v>
      </c>
    </row>
    <row r="1220" spans="2:2" x14ac:dyDescent="0.2">
      <c r="B1220" s="7" t="s">
        <v>341</v>
      </c>
    </row>
    <row r="1221" spans="2:2" x14ac:dyDescent="0.2">
      <c r="B1221" s="7" t="s">
        <v>260</v>
      </c>
    </row>
    <row r="1222" spans="2:2" x14ac:dyDescent="0.2">
      <c r="B1222" s="7" t="s">
        <v>468</v>
      </c>
    </row>
    <row r="1223" spans="2:2" x14ac:dyDescent="0.2">
      <c r="B1223" s="7" t="s">
        <v>300</v>
      </c>
    </row>
    <row r="1224" spans="2:2" x14ac:dyDescent="0.2">
      <c r="B1224" s="7" t="s">
        <v>150</v>
      </c>
    </row>
    <row r="1225" spans="2:2" x14ac:dyDescent="0.2">
      <c r="B1225" s="7" t="s">
        <v>318</v>
      </c>
    </row>
    <row r="1226" spans="2:2" x14ac:dyDescent="0.2">
      <c r="B1226" s="7" t="s">
        <v>108</v>
      </c>
    </row>
    <row r="1227" spans="2:2" x14ac:dyDescent="0.2">
      <c r="B1227" s="7" t="s">
        <v>154</v>
      </c>
    </row>
    <row r="1228" spans="2:2" x14ac:dyDescent="0.2">
      <c r="B1228" s="7" t="s">
        <v>224</v>
      </c>
    </row>
    <row r="1229" spans="2:2" x14ac:dyDescent="0.2">
      <c r="B1229" s="7" t="s">
        <v>261</v>
      </c>
    </row>
    <row r="1230" spans="2:2" x14ac:dyDescent="0.2">
      <c r="B1230" s="7" t="s">
        <v>262</v>
      </c>
    </row>
    <row r="1231" spans="2:2" x14ac:dyDescent="0.2">
      <c r="B1231" s="7" t="s">
        <v>320</v>
      </c>
    </row>
    <row r="1232" spans="2:2" x14ac:dyDescent="0.2">
      <c r="B1232" s="7" t="s">
        <v>353</v>
      </c>
    </row>
    <row r="1233" spans="2:2" x14ac:dyDescent="0.2">
      <c r="B1233" s="7" t="s">
        <v>367</v>
      </c>
    </row>
    <row r="1234" spans="2:2" x14ac:dyDescent="0.2">
      <c r="B1234" s="7" t="s">
        <v>632</v>
      </c>
    </row>
    <row r="1235" spans="2:2" x14ac:dyDescent="0.2">
      <c r="B1235" s="7" t="s">
        <v>111</v>
      </c>
    </row>
    <row r="1236" spans="2:2" x14ac:dyDescent="0.2">
      <c r="B1236" s="7" t="s">
        <v>59</v>
      </c>
    </row>
    <row r="1237" spans="2:2" x14ac:dyDescent="0.2">
      <c r="B1237" s="7" t="s">
        <v>390</v>
      </c>
    </row>
    <row r="1238" spans="2:2" x14ac:dyDescent="0.2">
      <c r="B1238" s="7" t="s">
        <v>616</v>
      </c>
    </row>
    <row r="1239" spans="2:2" x14ac:dyDescent="0.2">
      <c r="B1239" s="7" t="s">
        <v>306</v>
      </c>
    </row>
    <row r="1240" spans="2:2" x14ac:dyDescent="0.2">
      <c r="B1240" s="7" t="s">
        <v>62</v>
      </c>
    </row>
    <row r="1241" spans="2:2" x14ac:dyDescent="0.2">
      <c r="B1241" s="7" t="s">
        <v>501</v>
      </c>
    </row>
    <row r="1242" spans="2:2" x14ac:dyDescent="0.2">
      <c r="B1242" s="7" t="s">
        <v>64</v>
      </c>
    </row>
    <row r="1243" spans="2:2" x14ac:dyDescent="0.2">
      <c r="B1243" s="7" t="s">
        <v>282</v>
      </c>
    </row>
    <row r="1244" spans="2:2" x14ac:dyDescent="0.2">
      <c r="B1244" s="7" t="s">
        <v>321</v>
      </c>
    </row>
    <row r="1245" spans="2:2" x14ac:dyDescent="0.2">
      <c r="B1245" s="7" t="s">
        <v>264</v>
      </c>
    </row>
    <row r="1246" spans="2:2" x14ac:dyDescent="0.2">
      <c r="B1246" s="7" t="s">
        <v>67</v>
      </c>
    </row>
    <row r="1247" spans="2:2" x14ac:dyDescent="0.2">
      <c r="B1247" s="7" t="s">
        <v>201</v>
      </c>
    </row>
    <row r="1248" spans="2:2" x14ac:dyDescent="0.2">
      <c r="B1248" s="7" t="s">
        <v>343</v>
      </c>
    </row>
    <row r="1249" spans="2:2" x14ac:dyDescent="0.2">
      <c r="B1249" s="7" t="s">
        <v>323</v>
      </c>
    </row>
    <row r="1250" spans="2:2" x14ac:dyDescent="0.2">
      <c r="B1250" s="7" t="s">
        <v>527</v>
      </c>
    </row>
    <row r="1251" spans="2:2" x14ac:dyDescent="0.2">
      <c r="B1251" s="7" t="s">
        <v>70</v>
      </c>
    </row>
    <row r="1252" spans="2:2" x14ac:dyDescent="0.2">
      <c r="B1252" s="7" t="s">
        <v>72</v>
      </c>
    </row>
    <row r="1253" spans="2:2" x14ac:dyDescent="0.2">
      <c r="B1253" s="7" t="s">
        <v>226</v>
      </c>
    </row>
    <row r="1254" spans="2:2" x14ac:dyDescent="0.2">
      <c r="B1254" s="7" t="s">
        <v>266</v>
      </c>
    </row>
    <row r="1255" spans="2:2" x14ac:dyDescent="0.2">
      <c r="B1255" s="7" t="s">
        <v>267</v>
      </c>
    </row>
    <row r="1256" spans="2:2" x14ac:dyDescent="0.2">
      <c r="B1256" s="7" t="s">
        <v>75</v>
      </c>
    </row>
    <row r="1257" spans="2:2" x14ac:dyDescent="0.2">
      <c r="B1257" s="7" t="s">
        <v>529</v>
      </c>
    </row>
    <row r="1258" spans="2:2" x14ac:dyDescent="0.2">
      <c r="B1258" s="7" t="s">
        <v>85</v>
      </c>
    </row>
    <row r="1259" spans="2:2" x14ac:dyDescent="0.2">
      <c r="B1259" s="7" t="s">
        <v>83</v>
      </c>
    </row>
    <row r="1260" spans="2:2" x14ac:dyDescent="0.2">
      <c r="B1260" s="7" t="s">
        <v>88</v>
      </c>
    </row>
    <row r="1261" spans="2:2" x14ac:dyDescent="0.2">
      <c r="B1261" s="7" t="s">
        <v>160</v>
      </c>
    </row>
    <row r="1262" spans="2:2" x14ac:dyDescent="0.2">
      <c r="B1262" s="7" t="s">
        <v>94</v>
      </c>
    </row>
    <row r="1263" spans="2:2" x14ac:dyDescent="0.2">
      <c r="B1263" s="7" t="s">
        <v>534</v>
      </c>
    </row>
    <row r="1264" spans="2:2" x14ac:dyDescent="0.2">
      <c r="B1264" s="7" t="s">
        <v>269</v>
      </c>
    </row>
    <row r="1265" spans="2:2" x14ac:dyDescent="0.2">
      <c r="B1265" s="7" t="s">
        <v>161</v>
      </c>
    </row>
    <row r="1266" spans="2:2" x14ac:dyDescent="0.2">
      <c r="B1266" s="7" t="s">
        <v>326</v>
      </c>
    </row>
    <row r="1267" spans="2:2" x14ac:dyDescent="0.2">
      <c r="B1267" s="7" t="s">
        <v>227</v>
      </c>
    </row>
    <row r="1268" spans="2:2" x14ac:dyDescent="0.2">
      <c r="B1268" s="7" t="s">
        <v>660</v>
      </c>
    </row>
    <row r="1269" spans="2:2" x14ac:dyDescent="0.2">
      <c r="B1269" s="7" t="s">
        <v>271</v>
      </c>
    </row>
    <row r="1270" spans="2:2" x14ac:dyDescent="0.2">
      <c r="B1270" s="7" t="s">
        <v>355</v>
      </c>
    </row>
    <row r="1271" spans="2:2" x14ac:dyDescent="0.2">
      <c r="B1271" s="7" t="s">
        <v>327</v>
      </c>
    </row>
    <row r="1272" spans="2:2" x14ac:dyDescent="0.2">
      <c r="B1272" s="7" t="s">
        <v>95</v>
      </c>
    </row>
    <row r="1273" spans="2:2" x14ac:dyDescent="0.2">
      <c r="B1273" s="7" t="s">
        <v>382</v>
      </c>
    </row>
    <row r="1274" spans="2:2" x14ac:dyDescent="0.2">
      <c r="B1274" s="7" t="s">
        <v>162</v>
      </c>
    </row>
    <row r="1275" spans="2:2" x14ac:dyDescent="0.2">
      <c r="B1275" s="7" t="s">
        <v>383</v>
      </c>
    </row>
    <row r="1276" spans="2:2" x14ac:dyDescent="0.2">
      <c r="B1276" s="7" t="s">
        <v>272</v>
      </c>
    </row>
    <row r="1277" spans="2:2" x14ac:dyDescent="0.2">
      <c r="B1277" s="7" t="s">
        <v>384</v>
      </c>
    </row>
    <row r="1278" spans="2:2" x14ac:dyDescent="0.2">
      <c r="B1278" s="7" t="s">
        <v>376</v>
      </c>
    </row>
    <row r="1279" spans="2:2" x14ac:dyDescent="0.2">
      <c r="B1279" s="7" t="s">
        <v>368</v>
      </c>
    </row>
    <row r="1280" spans="2:2" x14ac:dyDescent="0.2">
      <c r="B1280" s="7" t="s">
        <v>539</v>
      </c>
    </row>
    <row r="1281" spans="2:2" x14ac:dyDescent="0.2">
      <c r="B1281" s="7" t="s">
        <v>97</v>
      </c>
    </row>
    <row r="1282" spans="2:2" x14ac:dyDescent="0.2">
      <c r="B1282" s="7" t="s">
        <v>328</v>
      </c>
    </row>
    <row r="1283" spans="2:2" x14ac:dyDescent="0.2">
      <c r="B1283" s="7" t="s">
        <v>163</v>
      </c>
    </row>
    <row r="1284" spans="2:2" x14ac:dyDescent="0.2">
      <c r="B1284" s="7" t="s">
        <v>208</v>
      </c>
    </row>
    <row r="1285" spans="2:2" x14ac:dyDescent="0.2">
      <c r="B1285" s="7" t="s">
        <v>228</v>
      </c>
    </row>
    <row r="1286" spans="2:2" x14ac:dyDescent="0.2">
      <c r="B1286" s="7" t="s">
        <v>331</v>
      </c>
    </row>
    <row r="1287" spans="2:2" x14ac:dyDescent="0.2">
      <c r="B1287" s="7" t="s">
        <v>649</v>
      </c>
    </row>
    <row r="1288" spans="2:2" x14ac:dyDescent="0.2">
      <c r="B1288" s="7" t="s">
        <v>277</v>
      </c>
    </row>
    <row r="1289" spans="2:2" x14ac:dyDescent="0.2">
      <c r="B1289" s="7" t="s">
        <v>98</v>
      </c>
    </row>
    <row r="1290" spans="2:2" x14ac:dyDescent="0.2">
      <c r="B1290" s="7" t="s">
        <v>99</v>
      </c>
    </row>
    <row r="1291" spans="2:2" x14ac:dyDescent="0.2">
      <c r="B1291" s="7" t="s">
        <v>100</v>
      </c>
    </row>
    <row r="1292" spans="2:2" x14ac:dyDescent="0.2">
      <c r="B1292" s="7" t="s">
        <v>595</v>
      </c>
    </row>
    <row r="1293" spans="2:2" x14ac:dyDescent="0.2">
      <c r="B1293" s="7" t="s">
        <v>333</v>
      </c>
    </row>
    <row r="1294" spans="2:2" x14ac:dyDescent="0.2">
      <c r="B1294" s="7" t="s">
        <v>508</v>
      </c>
    </row>
    <row r="1295" spans="2:2" x14ac:dyDescent="0.2">
      <c r="B1295" s="7" t="s">
        <v>370</v>
      </c>
    </row>
    <row r="1296" spans="2:2" x14ac:dyDescent="0.2">
      <c r="B1296" s="7" t="s">
        <v>275</v>
      </c>
    </row>
    <row r="1297" spans="1:2" x14ac:dyDescent="0.2">
      <c r="B1297" s="7" t="s">
        <v>101</v>
      </c>
    </row>
    <row r="1298" spans="1:2" x14ac:dyDescent="0.2">
      <c r="B1298" s="7" t="s">
        <v>530</v>
      </c>
    </row>
    <row r="1299" spans="1:2" x14ac:dyDescent="0.2">
      <c r="B1299" s="7" t="s">
        <v>181</v>
      </c>
    </row>
    <row r="1300" spans="1:2" x14ac:dyDescent="0.2">
      <c r="B1300" s="7" t="s">
        <v>204</v>
      </c>
    </row>
    <row r="1301" spans="1:2" x14ac:dyDescent="0.2">
      <c r="B1301" s="7" t="s">
        <v>145</v>
      </c>
    </row>
    <row r="1302" spans="1:2" x14ac:dyDescent="0.2">
      <c r="B1302" s="7" t="s">
        <v>276</v>
      </c>
    </row>
    <row r="1303" spans="1:2" x14ac:dyDescent="0.2">
      <c r="B1303" s="7" t="s">
        <v>102</v>
      </c>
    </row>
    <row r="1304" spans="1:2" x14ac:dyDescent="0.2">
      <c r="B1304" s="7" t="s">
        <v>346</v>
      </c>
    </row>
    <row r="1305" spans="1:2" x14ac:dyDescent="0.2">
      <c r="B1305" s="7" t="s">
        <v>182</v>
      </c>
    </row>
    <row r="1306" spans="1:2" x14ac:dyDescent="0.2">
      <c r="A1306" s="7" t="s">
        <v>386</v>
      </c>
      <c r="B1306" s="7" t="s">
        <v>205</v>
      </c>
    </row>
    <row r="1307" spans="1:2" x14ac:dyDescent="0.2">
      <c r="B1307" s="7" t="s">
        <v>207</v>
      </c>
    </row>
    <row r="1308" spans="1:2" x14ac:dyDescent="0.2">
      <c r="B1308" s="7" t="s">
        <v>183</v>
      </c>
    </row>
    <row r="1309" spans="1:2" x14ac:dyDescent="0.2">
      <c r="B1309" s="7" t="s">
        <v>185</v>
      </c>
    </row>
    <row r="1310" spans="1:2" x14ac:dyDescent="0.2">
      <c r="B1310" s="7" t="s">
        <v>186</v>
      </c>
    </row>
    <row r="1311" spans="1:2" x14ac:dyDescent="0.2">
      <c r="B1311" s="7" t="s">
        <v>187</v>
      </c>
    </row>
    <row r="1312" spans="1:2" x14ac:dyDescent="0.2">
      <c r="B1312" s="7" t="s">
        <v>209</v>
      </c>
    </row>
    <row r="1313" spans="2:2" x14ac:dyDescent="0.2">
      <c r="B1313" s="7" t="s">
        <v>188</v>
      </c>
    </row>
    <row r="1314" spans="2:2" x14ac:dyDescent="0.2">
      <c r="B1314" s="7" t="s">
        <v>4</v>
      </c>
    </row>
    <row r="1315" spans="2:2" x14ac:dyDescent="0.2">
      <c r="B1315" s="7" t="s">
        <v>189</v>
      </c>
    </row>
    <row r="1316" spans="2:2" x14ac:dyDescent="0.2">
      <c r="B1316" s="7" t="s">
        <v>210</v>
      </c>
    </row>
    <row r="1317" spans="2:2" x14ac:dyDescent="0.2">
      <c r="B1317" s="7" t="s">
        <v>190</v>
      </c>
    </row>
    <row r="1318" spans="2:2" x14ac:dyDescent="0.2">
      <c r="B1318" s="7" t="s">
        <v>211</v>
      </c>
    </row>
    <row r="1319" spans="2:2" x14ac:dyDescent="0.2">
      <c r="B1319" s="7" t="s">
        <v>212</v>
      </c>
    </row>
    <row r="1320" spans="2:2" x14ac:dyDescent="0.2">
      <c r="B1320" s="7" t="s">
        <v>16</v>
      </c>
    </row>
    <row r="1321" spans="2:2" x14ac:dyDescent="0.2">
      <c r="B1321" s="7" t="s">
        <v>133</v>
      </c>
    </row>
    <row r="1322" spans="2:2" x14ac:dyDescent="0.2">
      <c r="B1322" s="7" t="s">
        <v>20</v>
      </c>
    </row>
    <row r="1323" spans="2:2" x14ac:dyDescent="0.2">
      <c r="B1323" s="7" t="s">
        <v>214</v>
      </c>
    </row>
    <row r="1324" spans="2:2" x14ac:dyDescent="0.2">
      <c r="B1324" s="7" t="s">
        <v>25</v>
      </c>
    </row>
    <row r="1325" spans="2:2" x14ac:dyDescent="0.2">
      <c r="B1325" s="7" t="s">
        <v>216</v>
      </c>
    </row>
    <row r="1326" spans="2:2" x14ac:dyDescent="0.2">
      <c r="B1326" s="7" t="s">
        <v>139</v>
      </c>
    </row>
    <row r="1327" spans="2:2" x14ac:dyDescent="0.2">
      <c r="B1327" s="7" t="s">
        <v>217</v>
      </c>
    </row>
    <row r="1328" spans="2:2" x14ac:dyDescent="0.2">
      <c r="B1328" s="7" t="s">
        <v>191</v>
      </c>
    </row>
    <row r="1329" spans="2:2" x14ac:dyDescent="0.2">
      <c r="B1329" s="7" t="s">
        <v>7</v>
      </c>
    </row>
    <row r="1330" spans="2:2" x14ac:dyDescent="0.2">
      <c r="B1330" s="7" t="s">
        <v>193</v>
      </c>
    </row>
    <row r="1331" spans="2:2" x14ac:dyDescent="0.2">
      <c r="B1331" s="7" t="s">
        <v>194</v>
      </c>
    </row>
    <row r="1332" spans="2:2" x14ac:dyDescent="0.2">
      <c r="B1332" s="7" t="s">
        <v>195</v>
      </c>
    </row>
    <row r="1333" spans="2:2" x14ac:dyDescent="0.2">
      <c r="B1333" s="7" t="s">
        <v>146</v>
      </c>
    </row>
    <row r="1334" spans="2:2" x14ac:dyDescent="0.2">
      <c r="B1334" s="7" t="s">
        <v>196</v>
      </c>
    </row>
    <row r="1335" spans="2:2" x14ac:dyDescent="0.2">
      <c r="B1335" s="7" t="s">
        <v>43</v>
      </c>
    </row>
    <row r="1336" spans="2:2" x14ac:dyDescent="0.2">
      <c r="B1336" s="7" t="s">
        <v>197</v>
      </c>
    </row>
    <row r="1337" spans="2:2" x14ac:dyDescent="0.2">
      <c r="B1337" s="7" t="s">
        <v>198</v>
      </c>
    </row>
    <row r="1338" spans="2:2" x14ac:dyDescent="0.2">
      <c r="B1338" s="7" t="s">
        <v>49</v>
      </c>
    </row>
    <row r="1339" spans="2:2" x14ac:dyDescent="0.2">
      <c r="B1339" s="7" t="s">
        <v>149</v>
      </c>
    </row>
    <row r="1340" spans="2:2" x14ac:dyDescent="0.2">
      <c r="B1340" s="7" t="s">
        <v>199</v>
      </c>
    </row>
    <row r="1341" spans="2:2" x14ac:dyDescent="0.2">
      <c r="B1341" s="7" t="s">
        <v>220</v>
      </c>
    </row>
    <row r="1342" spans="2:2" x14ac:dyDescent="0.2">
      <c r="B1342" s="7" t="s">
        <v>175</v>
      </c>
    </row>
    <row r="1343" spans="2:2" x14ac:dyDescent="0.2">
      <c r="B1343" s="7" t="s">
        <v>221</v>
      </c>
    </row>
    <row r="1344" spans="2:2" x14ac:dyDescent="0.2">
      <c r="B1344" s="7" t="s">
        <v>222</v>
      </c>
    </row>
    <row r="1345" spans="2:2" x14ac:dyDescent="0.2">
      <c r="B1345" s="7" t="s">
        <v>200</v>
      </c>
    </row>
    <row r="1346" spans="2:2" x14ac:dyDescent="0.2">
      <c r="B1346" s="7" t="s">
        <v>223</v>
      </c>
    </row>
    <row r="1347" spans="2:2" x14ac:dyDescent="0.2">
      <c r="B1347" s="7" t="s">
        <v>150</v>
      </c>
    </row>
    <row r="1348" spans="2:2" x14ac:dyDescent="0.2">
      <c r="B1348" s="7" t="s">
        <v>55</v>
      </c>
    </row>
    <row r="1349" spans="2:2" x14ac:dyDescent="0.2">
      <c r="B1349" s="7" t="s">
        <v>154</v>
      </c>
    </row>
    <row r="1350" spans="2:2" x14ac:dyDescent="0.2">
      <c r="B1350" s="7" t="s">
        <v>224</v>
      </c>
    </row>
    <row r="1351" spans="2:2" x14ac:dyDescent="0.2">
      <c r="B1351" s="7" t="s">
        <v>112</v>
      </c>
    </row>
    <row r="1352" spans="2:2" x14ac:dyDescent="0.2">
      <c r="B1352" s="7" t="s">
        <v>67</v>
      </c>
    </row>
    <row r="1353" spans="2:2" x14ac:dyDescent="0.2">
      <c r="B1353" s="7" t="s">
        <v>201</v>
      </c>
    </row>
    <row r="1354" spans="2:2" x14ac:dyDescent="0.2">
      <c r="B1354" s="7" t="s">
        <v>225</v>
      </c>
    </row>
    <row r="1355" spans="2:2" x14ac:dyDescent="0.2">
      <c r="B1355" s="7" t="s">
        <v>226</v>
      </c>
    </row>
    <row r="1356" spans="2:2" x14ac:dyDescent="0.2">
      <c r="B1356" s="7" t="s">
        <v>89</v>
      </c>
    </row>
    <row r="1357" spans="2:2" x14ac:dyDescent="0.2">
      <c r="B1357" s="7" t="s">
        <v>160</v>
      </c>
    </row>
    <row r="1358" spans="2:2" x14ac:dyDescent="0.2">
      <c r="B1358" s="7" t="s">
        <v>92</v>
      </c>
    </row>
    <row r="1359" spans="2:2" x14ac:dyDescent="0.2">
      <c r="B1359" s="7" t="s">
        <v>117</v>
      </c>
    </row>
    <row r="1360" spans="2:2" x14ac:dyDescent="0.2">
      <c r="B1360" s="7" t="s">
        <v>202</v>
      </c>
    </row>
    <row r="1361" spans="1:2" x14ac:dyDescent="0.2">
      <c r="B1361" s="7" t="s">
        <v>118</v>
      </c>
    </row>
    <row r="1362" spans="1:2" x14ac:dyDescent="0.2">
      <c r="B1362" s="7" t="s">
        <v>227</v>
      </c>
    </row>
    <row r="1363" spans="1:2" x14ac:dyDescent="0.2">
      <c r="B1363" s="7" t="s">
        <v>203</v>
      </c>
    </row>
    <row r="1364" spans="1:2" x14ac:dyDescent="0.2">
      <c r="B1364" s="7" t="s">
        <v>228</v>
      </c>
    </row>
    <row r="1365" spans="1:2" x14ac:dyDescent="0.2">
      <c r="B1365" s="7" t="s">
        <v>230</v>
      </c>
    </row>
    <row r="1366" spans="1:2" x14ac:dyDescent="0.2">
      <c r="B1366" s="7" t="s">
        <v>231</v>
      </c>
    </row>
    <row r="1367" spans="1:2" x14ac:dyDescent="0.2">
      <c r="B1367" s="7" t="s">
        <v>204</v>
      </c>
    </row>
    <row r="1368" spans="1:2" x14ac:dyDescent="0.2">
      <c r="A1368" s="7" t="s">
        <v>6</v>
      </c>
      <c r="B1368" s="7" t="s">
        <v>8</v>
      </c>
    </row>
    <row r="1369" spans="1:2" x14ac:dyDescent="0.2">
      <c r="B1369" s="7" t="s">
        <v>10</v>
      </c>
    </row>
    <row r="1370" spans="1:2" x14ac:dyDescent="0.2">
      <c r="B1370" s="7" t="s">
        <v>11</v>
      </c>
    </row>
    <row r="1371" spans="1:2" x14ac:dyDescent="0.2">
      <c r="B1371" s="7" t="s">
        <v>4</v>
      </c>
    </row>
    <row r="1372" spans="1:2" x14ac:dyDescent="0.2">
      <c r="B1372" s="7" t="s">
        <v>12</v>
      </c>
    </row>
    <row r="1373" spans="1:2" x14ac:dyDescent="0.2">
      <c r="B1373" s="7" t="s">
        <v>13</v>
      </c>
    </row>
    <row r="1374" spans="1:2" x14ac:dyDescent="0.2">
      <c r="B1374" s="7" t="s">
        <v>14</v>
      </c>
    </row>
    <row r="1375" spans="1:2" x14ac:dyDescent="0.2">
      <c r="B1375" s="7" t="s">
        <v>16</v>
      </c>
    </row>
    <row r="1376" spans="1:2" x14ac:dyDescent="0.2">
      <c r="B1376" s="7" t="s">
        <v>18</v>
      </c>
    </row>
    <row r="1377" spans="2:2" x14ac:dyDescent="0.2">
      <c r="B1377" s="7" t="s">
        <v>20</v>
      </c>
    </row>
    <row r="1378" spans="2:2" x14ac:dyDescent="0.2">
      <c r="B1378" s="7" t="s">
        <v>22</v>
      </c>
    </row>
    <row r="1379" spans="2:2" x14ac:dyDescent="0.2">
      <c r="B1379" s="7" t="s">
        <v>25</v>
      </c>
    </row>
    <row r="1380" spans="2:2" x14ac:dyDescent="0.2">
      <c r="B1380" s="7" t="s">
        <v>27</v>
      </c>
    </row>
    <row r="1381" spans="2:2" x14ac:dyDescent="0.2">
      <c r="B1381" s="7" t="s">
        <v>7</v>
      </c>
    </row>
    <row r="1382" spans="2:2" x14ac:dyDescent="0.2">
      <c r="B1382" s="7" t="s">
        <v>31</v>
      </c>
    </row>
    <row r="1383" spans="2:2" x14ac:dyDescent="0.2">
      <c r="B1383" s="7" t="s">
        <v>33</v>
      </c>
    </row>
    <row r="1384" spans="2:2" x14ac:dyDescent="0.2">
      <c r="B1384" s="7" t="s">
        <v>36</v>
      </c>
    </row>
    <row r="1385" spans="2:2" x14ac:dyDescent="0.2">
      <c r="B1385" s="7" t="s">
        <v>38</v>
      </c>
    </row>
    <row r="1386" spans="2:2" x14ac:dyDescent="0.2">
      <c r="B1386" s="7" t="s">
        <v>41</v>
      </c>
    </row>
    <row r="1387" spans="2:2" x14ac:dyDescent="0.2">
      <c r="B1387" s="7" t="s">
        <v>43</v>
      </c>
    </row>
    <row r="1388" spans="2:2" x14ac:dyDescent="0.2">
      <c r="B1388" s="7" t="s">
        <v>46</v>
      </c>
    </row>
    <row r="1389" spans="2:2" x14ac:dyDescent="0.2">
      <c r="B1389" s="7" t="s">
        <v>49</v>
      </c>
    </row>
    <row r="1390" spans="2:2" x14ac:dyDescent="0.2">
      <c r="B1390" s="7" t="s">
        <v>52</v>
      </c>
    </row>
    <row r="1391" spans="2:2" x14ac:dyDescent="0.2">
      <c r="B1391" s="7" t="s">
        <v>55</v>
      </c>
    </row>
    <row r="1392" spans="2:2" x14ac:dyDescent="0.2">
      <c r="B1392" s="7" t="s">
        <v>59</v>
      </c>
    </row>
    <row r="1393" spans="2:2" x14ac:dyDescent="0.2">
      <c r="B1393" s="7" t="s">
        <v>62</v>
      </c>
    </row>
    <row r="1394" spans="2:2" x14ac:dyDescent="0.2">
      <c r="B1394" s="7" t="s">
        <v>64</v>
      </c>
    </row>
    <row r="1395" spans="2:2" x14ac:dyDescent="0.2">
      <c r="B1395" s="7" t="s">
        <v>67</v>
      </c>
    </row>
    <row r="1396" spans="2:2" x14ac:dyDescent="0.2">
      <c r="B1396" s="7" t="s">
        <v>70</v>
      </c>
    </row>
    <row r="1397" spans="2:2" x14ac:dyDescent="0.2">
      <c r="B1397" s="7" t="s">
        <v>72</v>
      </c>
    </row>
    <row r="1398" spans="2:2" x14ac:dyDescent="0.2">
      <c r="B1398" s="7" t="s">
        <v>75</v>
      </c>
    </row>
    <row r="1399" spans="2:2" x14ac:dyDescent="0.2">
      <c r="B1399" s="7" t="s">
        <v>78</v>
      </c>
    </row>
    <row r="1400" spans="2:2" x14ac:dyDescent="0.2">
      <c r="B1400" s="7" t="s">
        <v>81</v>
      </c>
    </row>
    <row r="1401" spans="2:2" x14ac:dyDescent="0.2">
      <c r="B1401" s="7" t="s">
        <v>85</v>
      </c>
    </row>
    <row r="1402" spans="2:2" x14ac:dyDescent="0.2">
      <c r="B1402" s="7" t="s">
        <v>83</v>
      </c>
    </row>
    <row r="1403" spans="2:2" x14ac:dyDescent="0.2">
      <c r="B1403" s="7" t="s">
        <v>84</v>
      </c>
    </row>
    <row r="1404" spans="2:2" x14ac:dyDescent="0.2">
      <c r="B1404" s="7" t="s">
        <v>86</v>
      </c>
    </row>
    <row r="1405" spans="2:2" x14ac:dyDescent="0.2">
      <c r="B1405" s="7" t="s">
        <v>87</v>
      </c>
    </row>
    <row r="1406" spans="2:2" x14ac:dyDescent="0.2">
      <c r="B1406" s="7" t="s">
        <v>88</v>
      </c>
    </row>
    <row r="1407" spans="2:2" x14ac:dyDescent="0.2">
      <c r="B1407" s="7" t="s">
        <v>89</v>
      </c>
    </row>
    <row r="1408" spans="2:2" x14ac:dyDescent="0.2">
      <c r="B1408" s="7" t="s">
        <v>90</v>
      </c>
    </row>
    <row r="1409" spans="2:2" x14ac:dyDescent="0.2">
      <c r="B1409" s="7" t="s">
        <v>91</v>
      </c>
    </row>
    <row r="1410" spans="2:2" x14ac:dyDescent="0.2">
      <c r="B1410" s="7" t="s">
        <v>92</v>
      </c>
    </row>
    <row r="1411" spans="2:2" x14ac:dyDescent="0.2">
      <c r="B1411" s="7" t="s">
        <v>94</v>
      </c>
    </row>
    <row r="1412" spans="2:2" x14ac:dyDescent="0.2">
      <c r="B1412" s="7" t="s">
        <v>95</v>
      </c>
    </row>
    <row r="1413" spans="2:2" x14ac:dyDescent="0.2">
      <c r="B1413" s="7" t="s">
        <v>97</v>
      </c>
    </row>
    <row r="1414" spans="2:2" x14ac:dyDescent="0.2">
      <c r="B1414" s="7" t="s">
        <v>98</v>
      </c>
    </row>
    <row r="1415" spans="2:2" x14ac:dyDescent="0.2">
      <c r="B1415" s="7" t="s">
        <v>99</v>
      </c>
    </row>
    <row r="1416" spans="2:2" x14ac:dyDescent="0.2">
      <c r="B1416" s="7" t="s">
        <v>100</v>
      </c>
    </row>
    <row r="1417" spans="2:2" x14ac:dyDescent="0.2">
      <c r="B1417" s="7" t="s">
        <v>101</v>
      </c>
    </row>
    <row r="1418" spans="2:2" x14ac:dyDescent="0.2">
      <c r="B1418" s="7"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Immunity</vt:lpstr>
      <vt:lpstr>Chamipons_tag</vt:lpstr>
      <vt:lpstr>Story champions</vt:lpstr>
      <vt:lpstr>Champion Plane</vt:lpstr>
      <vt:lpstr>Main</vt:lpstr>
      <vt:lpstr>Grouped by Tag</vt:lpstr>
      <vt:lpstr>Grouped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dc:creator>
  <cp:lastModifiedBy>BL ADAM</cp:lastModifiedBy>
  <dcterms:created xsi:type="dcterms:W3CDTF">2026-08-25T19:21:16Z</dcterms:created>
  <dcterms:modified xsi:type="dcterms:W3CDTF">2026-08-25T19:33:59Z</dcterms:modified>
</cp:coreProperties>
</file>